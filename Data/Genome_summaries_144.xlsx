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lly\Holly_BEAST\Files_for_model_testing\"/>
    </mc:Choice>
  </mc:AlternateContent>
  <xr:revisionPtr revIDLastSave="0" documentId="13_ncr:1_{CB29E745-EABE-4448-B1B0-A8E534F75E0E}" xr6:coauthVersionLast="47" xr6:coauthVersionMax="47" xr10:uidLastSave="{00000000-0000-0000-0000-000000000000}"/>
  <bookViews>
    <workbookView xWindow="-108" yWindow="-108" windowWidth="23256" windowHeight="12456" activeTab="1" xr2:uid="{3CA3C4B1-F893-4B5B-8AB5-773691B89D53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Sheet1!$A$1:$M$355</definedName>
  </definedName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2" i="1"/>
</calcChain>
</file>

<file path=xl/sharedStrings.xml><?xml version="1.0" encoding="utf-8"?>
<sst xmlns="http://schemas.openxmlformats.org/spreadsheetml/2006/main" count="1922" uniqueCount="226">
  <si>
    <t>Isolate ID</t>
  </si>
  <si>
    <t>Collection date</t>
  </si>
  <si>
    <t>Island</t>
  </si>
  <si>
    <t>Sample type</t>
  </si>
  <si>
    <t>Species</t>
  </si>
  <si>
    <t>Automated SBI</t>
  </si>
  <si>
    <t>MLST</t>
  </si>
  <si>
    <t>Total length</t>
  </si>
  <si>
    <t>GC (%)</t>
  </si>
  <si>
    <t>Depth</t>
  </si>
  <si>
    <t>Contigs</t>
  </si>
  <si>
    <t>CDS</t>
  </si>
  <si>
    <t>N50</t>
  </si>
  <si>
    <t>stx1A</t>
  </si>
  <si>
    <t>stx1B</t>
  </si>
  <si>
    <t>stx2A</t>
  </si>
  <si>
    <t>stx2B</t>
  </si>
  <si>
    <t>Automated_SBI</t>
  </si>
  <si>
    <t>SBI</t>
  </si>
  <si>
    <t>O-type</t>
  </si>
  <si>
    <t>H-type</t>
  </si>
  <si>
    <t>Serotype</t>
  </si>
  <si>
    <t>eae</t>
  </si>
  <si>
    <t>ehxA</t>
  </si>
  <si>
    <t>hlyE</t>
  </si>
  <si>
    <t>stx1a</t>
  </si>
  <si>
    <t>stx2a</t>
  </si>
  <si>
    <t>stx2c</t>
  </si>
  <si>
    <t>109ST-1</t>
  </si>
  <si>
    <t>NI</t>
  </si>
  <si>
    <t>bovine</t>
  </si>
  <si>
    <t>E. coli</t>
  </si>
  <si>
    <t>AY2a</t>
  </si>
  <si>
    <t>O157</t>
  </si>
  <si>
    <t>H7</t>
  </si>
  <si>
    <t>O157:H7</t>
  </si>
  <si>
    <t>13ER-3795</t>
  </si>
  <si>
    <t>13ER-4703</t>
  </si>
  <si>
    <t>SI</t>
  </si>
  <si>
    <t>WY12a</t>
  </si>
  <si>
    <t>13ER-5169</t>
  </si>
  <si>
    <t>14ER-1012</t>
  </si>
  <si>
    <t>ASY2c</t>
  </si>
  <si>
    <t>14ER-2496</t>
  </si>
  <si>
    <t>14ER-2816</t>
  </si>
  <si>
    <t>14ER-2831</t>
  </si>
  <si>
    <t>14ER-3009</t>
  </si>
  <si>
    <t>14ER-98</t>
  </si>
  <si>
    <t>36ST-1</t>
  </si>
  <si>
    <t>a220a</t>
  </si>
  <si>
    <t>E200a</t>
  </si>
  <si>
    <t>AWY2a</t>
  </si>
  <si>
    <t>e46a</t>
  </si>
  <si>
    <t>AS2c</t>
  </si>
  <si>
    <t>e82b</t>
  </si>
  <si>
    <t>ER-06-287</t>
  </si>
  <si>
    <t>human</t>
  </si>
  <si>
    <t>ERL_051037</t>
  </si>
  <si>
    <t>Y1</t>
  </si>
  <si>
    <t>Y1a</t>
  </si>
  <si>
    <t>ERL_061626</t>
  </si>
  <si>
    <t>SY2c</t>
  </si>
  <si>
    <t>ERL_07467</t>
  </si>
  <si>
    <t>ERL_084313</t>
  </si>
  <si>
    <t>Y2c</t>
  </si>
  <si>
    <t>ERL_10197</t>
  </si>
  <si>
    <t>ERL04-1335</t>
  </si>
  <si>
    <t>Y12a</t>
  </si>
  <si>
    <t>ERL04-2149</t>
  </si>
  <si>
    <t>ERL04-2361</t>
  </si>
  <si>
    <t>ERL04-2635</t>
  </si>
  <si>
    <t>ERL04-3180</t>
  </si>
  <si>
    <t>ERL04-3193</t>
  </si>
  <si>
    <t>ERL04-3264</t>
  </si>
  <si>
    <t>ERL-04-3328</t>
  </si>
  <si>
    <t>ERL-04-3576</t>
  </si>
  <si>
    <t>ERL-04-3763</t>
  </si>
  <si>
    <t>ERL-04-3852-S4</t>
  </si>
  <si>
    <t>ERL-04-3852-S5</t>
  </si>
  <si>
    <t>ERL-04-602</t>
  </si>
  <si>
    <t>AY</t>
  </si>
  <si>
    <t>ERL-05-1169</t>
  </si>
  <si>
    <t>ERL-05-1243</t>
  </si>
  <si>
    <t>ERL05-1677</t>
  </si>
  <si>
    <t>ASWY2c</t>
  </si>
  <si>
    <t>ERL-05-2349</t>
  </si>
  <si>
    <t>ERL05-2493</t>
  </si>
  <si>
    <t>ERL05-3130</t>
  </si>
  <si>
    <t>A2a</t>
  </si>
  <si>
    <t>ERL05-3260</t>
  </si>
  <si>
    <t>ERL-05-3299</t>
  </si>
  <si>
    <t>ERL05-599</t>
  </si>
  <si>
    <t>ERL05-623</t>
  </si>
  <si>
    <t>ERL06-2494</t>
  </si>
  <si>
    <t>ERL06-3112</t>
  </si>
  <si>
    <t>ERL06-3117</t>
  </si>
  <si>
    <t>ERL06-3151</t>
  </si>
  <si>
    <t>ERL-06-3358</t>
  </si>
  <si>
    <t>ERL06-3513</t>
  </si>
  <si>
    <t>ERL06-3581</t>
  </si>
  <si>
    <t>ERL06-4361</t>
  </si>
  <si>
    <t>ERL-06-4465</t>
  </si>
  <si>
    <t>ERL-06-677</t>
  </si>
  <si>
    <t>ERL06-726</t>
  </si>
  <si>
    <t>ERL07-1133</t>
  </si>
  <si>
    <t>ERL07-154</t>
  </si>
  <si>
    <t>ERL-07-155</t>
  </si>
  <si>
    <t>ERL07-2285</t>
  </si>
  <si>
    <t>ERL07-2341</t>
  </si>
  <si>
    <t>ERL07-2638</t>
  </si>
  <si>
    <t>ERL07-2698</t>
  </si>
  <si>
    <t>ERL-07-2865</t>
  </si>
  <si>
    <t>ERL-07-3071</t>
  </si>
  <si>
    <t>ERL-07-314</t>
  </si>
  <si>
    <t>ERL-07-811</t>
  </si>
  <si>
    <t>ERL08-1743</t>
  </si>
  <si>
    <t>ERL08-1889</t>
  </si>
  <si>
    <t>ERL08-1945</t>
  </si>
  <si>
    <t>AS12c</t>
  </si>
  <si>
    <t>ERL08-2000</t>
  </si>
  <si>
    <t>ERL-08-2021</t>
  </si>
  <si>
    <t>ERL-08-2124</t>
  </si>
  <si>
    <t>ERL-08-2970</t>
  </si>
  <si>
    <t>ERL-08-3021</t>
  </si>
  <si>
    <t>ERL-08-3450</t>
  </si>
  <si>
    <t>ERL08-3922</t>
  </si>
  <si>
    <t>ERL08-4331</t>
  </si>
  <si>
    <t>ERL08949</t>
  </si>
  <si>
    <t>ERL08-987</t>
  </si>
  <si>
    <t>ERL09-1792</t>
  </si>
  <si>
    <t>ERL09-2373</t>
  </si>
  <si>
    <t>ERL09-2521</t>
  </si>
  <si>
    <t>ERL09-2594</t>
  </si>
  <si>
    <t>ERL09-2641</t>
  </si>
  <si>
    <t>ERL09-3051</t>
  </si>
  <si>
    <t>ERL093134</t>
  </si>
  <si>
    <t>ERL09-3411</t>
  </si>
  <si>
    <t>WY1</t>
  </si>
  <si>
    <t>ERL093611</t>
  </si>
  <si>
    <t>ERL093688</t>
  </si>
  <si>
    <t>ERL101381</t>
  </si>
  <si>
    <t>ERL101788</t>
  </si>
  <si>
    <t>ERL10-1821</t>
  </si>
  <si>
    <t>WY2c</t>
  </si>
  <si>
    <t>SWY2c</t>
  </si>
  <si>
    <t>ERL10-2113</t>
  </si>
  <si>
    <t>ASY</t>
  </si>
  <si>
    <t>ERL10-2267</t>
  </si>
  <si>
    <t>ERL102582</t>
  </si>
  <si>
    <t>ERL10-4349</t>
  </si>
  <si>
    <t>ASY12c</t>
  </si>
  <si>
    <t>ERL10-552</t>
  </si>
  <si>
    <t>ERL10-553</t>
  </si>
  <si>
    <t>ERL10-835</t>
  </si>
  <si>
    <t>ERL11-1029</t>
  </si>
  <si>
    <t>ERL11105</t>
  </si>
  <si>
    <t>ERL111514</t>
  </si>
  <si>
    <t>ERL111878</t>
  </si>
  <si>
    <t>ERL111881</t>
  </si>
  <si>
    <t>ERL11-2437</t>
  </si>
  <si>
    <t>ERL11-2652</t>
  </si>
  <si>
    <t>ERL112838</t>
  </si>
  <si>
    <t>ERL11-2886</t>
  </si>
  <si>
    <t>ERL113692</t>
  </si>
  <si>
    <t>ERL11-411</t>
  </si>
  <si>
    <t>AWY12a</t>
  </si>
  <si>
    <t>ERL121115</t>
  </si>
  <si>
    <t>ERL-12-1148</t>
  </si>
  <si>
    <t>ERL121207</t>
  </si>
  <si>
    <t>ERL121344</t>
  </si>
  <si>
    <t>ERL12-2002</t>
  </si>
  <si>
    <t>ERL12568</t>
  </si>
  <si>
    <t>ERL12-857</t>
  </si>
  <si>
    <t>h110a</t>
  </si>
  <si>
    <t>H12ESR-1893</t>
  </si>
  <si>
    <t>WY1a</t>
  </si>
  <si>
    <t>H12ESR-3001</t>
  </si>
  <si>
    <t>H12ESR-3003</t>
  </si>
  <si>
    <t>H12ESR-3802</t>
  </si>
  <si>
    <t>H12ESR-3850</t>
  </si>
  <si>
    <t>H12ESR-4525</t>
  </si>
  <si>
    <t>H13ER-3948</t>
  </si>
  <si>
    <t>H13ER-5955</t>
  </si>
  <si>
    <t>H13ER-6408</t>
  </si>
  <si>
    <t>H13ER-6657</t>
  </si>
  <si>
    <t>H13ESR-1331</t>
  </si>
  <si>
    <t>H13ESR-2152</t>
  </si>
  <si>
    <t>H13ESR-2208</t>
  </si>
  <si>
    <t>H13ESR-2383</t>
  </si>
  <si>
    <t>H13ESR-2556</t>
  </si>
  <si>
    <t>H14ER-1075</t>
  </si>
  <si>
    <t>H14ER-115</t>
  </si>
  <si>
    <t>H14ER-1245</t>
  </si>
  <si>
    <t>H14ER-1346</t>
  </si>
  <si>
    <t>H14ER-519</t>
  </si>
  <si>
    <t>H14ER-913</t>
  </si>
  <si>
    <t>h160a</t>
  </si>
  <si>
    <t>H174a</t>
  </si>
  <si>
    <t>h25a</t>
  </si>
  <si>
    <t>H81a</t>
  </si>
  <si>
    <t>T53a</t>
  </si>
  <si>
    <t>#875692</t>
  </si>
  <si>
    <t>#F3c300</t>
  </si>
  <si>
    <t>#008856</t>
  </si>
  <si>
    <t>#C2B280</t>
  </si>
  <si>
    <t>#A1CAF1</t>
  </si>
  <si>
    <t>#604E97</t>
  </si>
  <si>
    <t>#F99379</t>
  </si>
  <si>
    <t>#848482</t>
  </si>
  <si>
    <t>#F38400</t>
  </si>
  <si>
    <t>#B3446c</t>
  </si>
  <si>
    <t>#DCD300</t>
  </si>
  <si>
    <t>#654522</t>
  </si>
  <si>
    <t>#0067A5</t>
  </si>
  <si>
    <t>#BE0032</t>
  </si>
  <si>
    <t>#2B3D26</t>
  </si>
  <si>
    <t>#E68FAC</t>
  </si>
  <si>
    <t>Reference</t>
  </si>
  <si>
    <t>RB_level 1</t>
  </si>
  <si>
    <t>RB_level 2</t>
  </si>
  <si>
    <t>Column Labels</t>
  </si>
  <si>
    <t>(blank)</t>
  </si>
  <si>
    <t>Grand Total</t>
  </si>
  <si>
    <t>Row Labels</t>
  </si>
  <si>
    <t>Count of RB_level 1</t>
  </si>
  <si>
    <t>RB_level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</si>
</sst>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name val="MS Sans Serif"/>
    </font>
    <font>
      <sz val="10"/>
      <name val="MS Sans Serif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1" applyFont="1" applyAlignment="1">
      <alignment horizontal="right"/>
    </xf>
    <xf numFmtId="0" fontId="0" fillId="0" borderId="0" xfId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7" fillId="3" borderId="0" xfId="5"/>
    <xf numFmtId="0" fontId="6" fillId="2" borderId="0" xfId="4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6">
    <cellStyle name="Bad" xfId="4" builtinId="27"/>
    <cellStyle name="Neutral" xfId="5" builtinId="28"/>
    <cellStyle name="Normal" xfId="0" builtinId="0"/>
    <cellStyle name="Normal 3" xfId="2" xr:uid="{F3833513-EFC5-4419-A371-6035AEA1B4D0}"/>
    <cellStyle name="Normal 4" xfId="3" xr:uid="{53210E04-571D-4B3E-9530-740D61FE73D0}"/>
    <cellStyle name="TableStyleLight1" xfId="1" xr:uid="{33178941-3CF3-4442-A199-2F476BCA814B}"/>
  </cellStyles>
  <dxfs count="3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gel French" refreshedDate="45959.385609606485" createdVersion="8" refreshedVersion="8" minRefreshableVersion="3" recordCount="145" xr:uid="{160DDE4F-3798-4C13-8789-717F0CC20307}">
  <cacheSource type="worksheet">
    <worksheetSource ref="A1:AD1048576" sheet="Sheet1"/>
  </cacheSource>
  <cacheFields count="30">
    <cacheField name="Isolate ID" numFmtId="0">
      <sharedItems containsBlank="1"/>
    </cacheField>
    <cacheField name="Collection date" numFmtId="0">
      <sharedItems containsString="0" containsBlank="1" containsNumber="1" containsInteger="1" minValue="2004" maxValue="2014"/>
    </cacheField>
    <cacheField name="Island" numFmtId="0">
      <sharedItems containsBlank="1"/>
    </cacheField>
    <cacheField name="Sample type" numFmtId="0">
      <sharedItems containsBlank="1"/>
    </cacheField>
    <cacheField name="Species" numFmtId="0">
      <sharedItems containsBlank="1"/>
    </cacheField>
    <cacheField name="Automated SBI" numFmtId="0">
      <sharedItems containsBlank="1"/>
    </cacheField>
    <cacheField name="MLST" numFmtId="0">
      <sharedItems containsString="0" containsBlank="1" containsNumber="1" containsInteger="1" minValue="11" maxValue="10468"/>
    </cacheField>
    <cacheField name="Total length" numFmtId="0">
      <sharedItems containsString="0" containsBlank="1" containsNumber="1" containsInteger="1" minValue="5152554" maxValue="5854111"/>
    </cacheField>
    <cacheField name="GC (%)" numFmtId="0">
      <sharedItems containsString="0" containsBlank="1" containsNumber="1" minValue="50.1" maxValue="50.33"/>
    </cacheField>
    <cacheField name="Depth" numFmtId="0">
      <sharedItems containsString="0" containsBlank="1" containsNumber="1" containsInteger="1" minValue="34" maxValue="200"/>
    </cacheField>
    <cacheField name="Contigs" numFmtId="0">
      <sharedItems containsString="0" containsBlank="1" containsNumber="1" containsInteger="1" minValue="113" maxValue="238"/>
    </cacheField>
    <cacheField name="CDS" numFmtId="0">
      <sharedItems containsString="0" containsBlank="1" containsNumber="1" containsInteger="1" minValue="4839" maxValue="5692"/>
    </cacheField>
    <cacheField name="N50" numFmtId="0">
      <sharedItems containsString="0" containsBlank="1" containsNumber="1" containsInteger="1" minValue="73402" maxValue="256088"/>
    </cacheField>
    <cacheField name="stx1A" numFmtId="0">
      <sharedItems containsString="0" containsBlank="1" containsNumber="1" containsInteger="1" minValue="0" maxValue="1"/>
    </cacheField>
    <cacheField name="stx1B" numFmtId="0">
      <sharedItems containsString="0" containsBlank="1" containsNumber="1" containsInteger="1" minValue="0" maxValue="1"/>
    </cacheField>
    <cacheField name="stx2A" numFmtId="0">
      <sharedItems containsString="0" containsBlank="1" containsNumber="1" containsInteger="1" minValue="0" maxValue="1"/>
    </cacheField>
    <cacheField name="stx2B" numFmtId="0">
      <sharedItems containsString="0" containsBlank="1" containsNumber="1" containsInteger="1" minValue="0" maxValue="1"/>
    </cacheField>
    <cacheField name="Automated_SBI" numFmtId="0">
      <sharedItems containsBlank="1" count="17">
        <s v="AY2a"/>
        <s v="WY12a"/>
        <s v="ASY2c"/>
        <s v="AWY2a"/>
        <s v="AS2c"/>
        <s v="Y1"/>
        <s v="SY2c"/>
        <s v="Y2c"/>
        <s v="AY"/>
        <s v="ASWY2c"/>
        <s v="A2a"/>
        <s v="AS12c"/>
        <s v="WY1"/>
        <s v="WY2c"/>
        <s v="ASY12c"/>
        <s v="AWY12a"/>
        <m/>
      </sharedItems>
    </cacheField>
    <cacheField name="SBI" numFmtId="0">
      <sharedItems containsBlank="1"/>
    </cacheField>
    <cacheField name="O-type" numFmtId="0">
      <sharedItems containsBlank="1"/>
    </cacheField>
    <cacheField name="H-type" numFmtId="0">
      <sharedItems containsBlank="1"/>
    </cacheField>
    <cacheField name="Serotype" numFmtId="0">
      <sharedItems containsBlank="1"/>
    </cacheField>
    <cacheField name="eae" numFmtId="0">
      <sharedItems containsString="0" containsBlank="1" containsNumber="1" containsInteger="1" minValue="1" maxValue="1"/>
    </cacheField>
    <cacheField name="ehxA" numFmtId="0">
      <sharedItems containsString="0" containsBlank="1" containsNumber="1" containsInteger="1" minValue="0" maxValue="1"/>
    </cacheField>
    <cacheField name="hlyE" numFmtId="0">
      <sharedItems containsString="0" containsBlank="1" containsNumber="1" containsInteger="1" minValue="1" maxValue="1"/>
    </cacheField>
    <cacheField name="stx1a2" numFmtId="0">
      <sharedItems containsString="0" containsBlank="1" containsNumber="1" containsInteger="1" minValue="0" maxValue="1"/>
    </cacheField>
    <cacheField name="stx2a2" numFmtId="0">
      <sharedItems containsString="0" containsBlank="1" containsNumber="1" containsInteger="1" minValue="0" maxValue="1"/>
    </cacheField>
    <cacheField name="stx2c" numFmtId="0">
      <sharedItems containsString="0" containsBlank="1" containsNumber="1" containsInteger="1" minValue="0" maxValue="1"/>
    </cacheField>
    <cacheField name="RB_level 1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RB_level 2" numFmtId="0">
      <sharedItems containsString="0" containsBlank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109ST-1"/>
    <n v="2008"/>
    <s v="NI"/>
    <s v="bovine"/>
    <s v="E. coli"/>
    <s v="AY2a"/>
    <n v="11"/>
    <n v="5392488"/>
    <n v="50.26"/>
    <n v="77"/>
    <n v="135"/>
    <n v="5145"/>
    <n v="201728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13ER-3795"/>
    <n v="2013"/>
    <s v="NI"/>
    <s v="bovine"/>
    <s v="E. coli"/>
    <s v="AY2a"/>
    <n v="11"/>
    <n v="5405020"/>
    <n v="50.27"/>
    <n v="72"/>
    <n v="149"/>
    <n v="5179"/>
    <n v="188962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13ER-4703"/>
    <n v="2013"/>
    <s v="SI"/>
    <s v="bovine"/>
    <s v="E. coli"/>
    <s v="WY12a"/>
    <n v="11"/>
    <n v="5442399"/>
    <n v="50.23"/>
    <n v="88"/>
    <n v="133"/>
    <n v="5208"/>
    <n v="189042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13ER-5169"/>
    <n v="2013"/>
    <s v="NI"/>
    <s v="bovine"/>
    <s v="E. coli"/>
    <s v="WY12a"/>
    <n v="10465"/>
    <n v="5346027"/>
    <n v="50.27"/>
    <n v="91"/>
    <n v="134"/>
    <n v="5086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14ER-1012"/>
    <n v="2014"/>
    <s v="SI"/>
    <s v="bovine"/>
    <s v="E. coli"/>
    <s v="ASY2c"/>
    <n v="11"/>
    <n v="5386937"/>
    <n v="50.26"/>
    <n v="70"/>
    <n v="163"/>
    <n v="5134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14ER-2496"/>
    <n v="2014"/>
    <s v="NI"/>
    <s v="bovine"/>
    <s v="E. coli"/>
    <s v="WY12a"/>
    <n v="11"/>
    <n v="5407597"/>
    <n v="50.29"/>
    <n v="111"/>
    <n v="139"/>
    <n v="5157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14ER-2816"/>
    <n v="2014"/>
    <s v="SI"/>
    <s v="bovine"/>
    <s v="E. coli"/>
    <s v="AY2a"/>
    <n v="11"/>
    <n v="5445911"/>
    <n v="50.3"/>
    <n v="76"/>
    <n v="151"/>
    <n v="5219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2"/>
  </r>
  <r>
    <s v="14ER-2831"/>
    <n v="2014"/>
    <s v="NI"/>
    <s v="bovine"/>
    <s v="E. coli"/>
    <s v="ASY2c"/>
    <n v="11"/>
    <n v="5440749"/>
    <n v="50.18"/>
    <n v="107"/>
    <n v="150"/>
    <n v="5209"/>
    <n v="256088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14ER-3009"/>
    <n v="2014"/>
    <s v="SI"/>
    <s v="bovine"/>
    <s v="E. coli"/>
    <s v="WY12a"/>
    <n v="11"/>
    <n v="5353674"/>
    <n v="50.21"/>
    <n v="51"/>
    <n v="134"/>
    <n v="5103"/>
    <n v="188387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14ER-98"/>
    <n v="2014"/>
    <s v="NI"/>
    <s v="bovine"/>
    <s v="E. coli"/>
    <s v="AY2a"/>
    <n v="11"/>
    <n v="5391087"/>
    <n v="50.27"/>
    <n v="66"/>
    <n v="131"/>
    <n v="5149"/>
    <n v="18762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36ST-1"/>
    <n v="2008"/>
    <s v="NI"/>
    <s v="bovine"/>
    <s v="E. coli"/>
    <s v="WY12a"/>
    <n v="11"/>
    <n v="5434408"/>
    <n v="50.17"/>
    <n v="42"/>
    <n v="169"/>
    <n v="5199"/>
    <n v="163243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a220a"/>
    <n v="2011"/>
    <s v="SI"/>
    <s v="bovine"/>
    <s v="E. coli"/>
    <s v="ASY2c"/>
    <n v="11"/>
    <n v="5270462"/>
    <n v="50.23"/>
    <n v="178"/>
    <n v="215"/>
    <n v="4970"/>
    <n v="113841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E200a"/>
    <n v="2010"/>
    <s v="NI"/>
    <s v="bovine"/>
    <s v="E. coli"/>
    <s v="AWY2a"/>
    <n v="11"/>
    <n v="5423318"/>
    <n v="50.25"/>
    <n v="112"/>
    <n v="158"/>
    <n v="5201"/>
    <n v="183735"/>
    <n v="0"/>
    <n v="0"/>
    <n v="1"/>
    <n v="1"/>
    <x v="3"/>
    <s v="AWY2a"/>
    <s v="O157"/>
    <s v="H7"/>
    <s v="O157:H7"/>
    <n v="1"/>
    <n v="1"/>
    <n v="1"/>
    <n v="0"/>
    <n v="1"/>
    <n v="0"/>
    <x v="0"/>
    <n v="1"/>
  </r>
  <r>
    <s v="e46a"/>
    <n v="2010"/>
    <s v="NI"/>
    <s v="bovine"/>
    <s v="E. coli"/>
    <s v="AS2c"/>
    <n v="11"/>
    <n v="5354771"/>
    <n v="50.25"/>
    <n v="90"/>
    <n v="135"/>
    <n v="5093"/>
    <n v="188530"/>
    <n v="0"/>
    <n v="0"/>
    <n v="1"/>
    <n v="1"/>
    <x v="4"/>
    <s v="AS2c"/>
    <s v="O157"/>
    <s v="H7"/>
    <s v="O157:H7"/>
    <n v="1"/>
    <n v="1"/>
    <n v="1"/>
    <n v="0"/>
    <n v="0"/>
    <n v="1"/>
    <x v="2"/>
    <n v="9"/>
  </r>
  <r>
    <s v="e82b"/>
    <n v="2010"/>
    <s v="NI"/>
    <s v="bovine"/>
    <s v="E. coli"/>
    <s v="AY2a"/>
    <n v="11"/>
    <n v="5314372"/>
    <n v="50.17"/>
    <n v="190"/>
    <n v="201"/>
    <n v="5034"/>
    <n v="111036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-06-287"/>
    <n v="2006"/>
    <s v="NI"/>
    <s v="human"/>
    <s v="E. coli"/>
    <s v="AY2a"/>
    <n v="11"/>
    <n v="5498434"/>
    <n v="50.23"/>
    <n v="146"/>
    <n v="156"/>
    <n v="5279"/>
    <n v="163261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_051037"/>
    <n v="2005"/>
    <s v="SI"/>
    <s v="human"/>
    <s v="E. coli"/>
    <s v="Y1"/>
    <n v="11"/>
    <n v="5152554"/>
    <n v="50.27"/>
    <n v="189"/>
    <n v="167"/>
    <n v="4839"/>
    <n v="127309"/>
    <n v="1"/>
    <n v="1"/>
    <n v="0"/>
    <n v="0"/>
    <x v="5"/>
    <s v="Y1a"/>
    <s v="O157"/>
    <s v="H7"/>
    <s v="O157:H7"/>
    <n v="1"/>
    <n v="1"/>
    <n v="1"/>
    <n v="1"/>
    <n v="0"/>
    <n v="0"/>
    <x v="1"/>
    <n v="4"/>
  </r>
  <r>
    <s v="ERL_061626"/>
    <n v="2006"/>
    <s v="NI"/>
    <s v="human"/>
    <s v="E. coli"/>
    <s v="SY2c"/>
    <n v="11"/>
    <n v="5279980"/>
    <n v="50.24"/>
    <n v="185"/>
    <n v="221"/>
    <n v="4983"/>
    <n v="121669"/>
    <n v="0"/>
    <n v="0"/>
    <n v="1"/>
    <n v="1"/>
    <x v="6"/>
    <s v="SY2c"/>
    <s v="O157"/>
    <s v="H7"/>
    <s v="O157:H7"/>
    <n v="1"/>
    <n v="1"/>
    <n v="1"/>
    <n v="0"/>
    <n v="0"/>
    <n v="1"/>
    <x v="2"/>
    <n v="9"/>
  </r>
  <r>
    <s v="ERL_07467"/>
    <n v="2007"/>
    <s v="NI"/>
    <s v="human"/>
    <s v="E. coli"/>
    <s v="WY12a"/>
    <n v="11"/>
    <n v="5239549"/>
    <n v="50.28"/>
    <n v="187"/>
    <n v="170"/>
    <n v="4944"/>
    <n v="127310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_084313"/>
    <n v="2008"/>
    <s v="SI"/>
    <s v="human"/>
    <s v="E. coli"/>
    <s v="Y2c"/>
    <n v="11"/>
    <n v="5267048"/>
    <n v="50.28"/>
    <n v="185"/>
    <n v="197"/>
    <n v="4963"/>
    <n v="102807"/>
    <n v="0"/>
    <n v="0"/>
    <n v="1"/>
    <n v="1"/>
    <x v="7"/>
    <s v="Y2c"/>
    <s v="O157"/>
    <s v="H7"/>
    <s v="O157:H7"/>
    <n v="1"/>
    <n v="1"/>
    <n v="1"/>
    <n v="0"/>
    <n v="0"/>
    <n v="1"/>
    <x v="1"/>
    <n v="6"/>
  </r>
  <r>
    <s v="ERL_10197"/>
    <n v="2010"/>
    <s v="SI"/>
    <s v="human"/>
    <s v="E. coli"/>
    <s v="ASY2c"/>
    <n v="11"/>
    <n v="5270315"/>
    <n v="50.22"/>
    <n v="185"/>
    <n v="215"/>
    <n v="4956"/>
    <n v="116339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04-1335"/>
    <n v="2004"/>
    <m/>
    <s v="human"/>
    <s v="E. coli"/>
    <s v="WY12a"/>
    <n v="11"/>
    <n v="5415433"/>
    <n v="50.26"/>
    <n v="79"/>
    <n v="163"/>
    <n v="5170"/>
    <n v="160335"/>
    <n v="1"/>
    <n v="1"/>
    <n v="1"/>
    <n v="1"/>
    <x v="1"/>
    <s v="Y12a"/>
    <s v="O157"/>
    <s v="H7"/>
    <s v="O157:H7"/>
    <n v="1"/>
    <n v="0"/>
    <n v="1"/>
    <n v="1"/>
    <n v="1"/>
    <n v="0"/>
    <x v="1"/>
    <n v="4"/>
  </r>
  <r>
    <s v="ERL04-2149"/>
    <n v="2004"/>
    <s v="NI"/>
    <s v="bovine"/>
    <s v="E. coli"/>
    <s v="WY12a"/>
    <n v="11"/>
    <n v="5341757"/>
    <n v="50.27"/>
    <n v="78"/>
    <n v="142"/>
    <n v="5072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4-2361"/>
    <n v="2004"/>
    <s v="NI"/>
    <s v="bovine"/>
    <s v="E. coli"/>
    <s v="AY2a"/>
    <n v="11"/>
    <n v="5430601"/>
    <n v="50.26"/>
    <n v="114"/>
    <n v="145"/>
    <n v="5198"/>
    <n v="180339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4-2635"/>
    <n v="2004"/>
    <s v="NI"/>
    <s v="bovine"/>
    <s v="E. coli"/>
    <s v="AWY2a"/>
    <n v="11"/>
    <n v="5511020"/>
    <n v="50.23"/>
    <n v="94"/>
    <n v="165"/>
    <n v="5316"/>
    <n v="157300"/>
    <n v="0"/>
    <n v="0"/>
    <n v="1"/>
    <n v="1"/>
    <x v="3"/>
    <s v="AWY2a"/>
    <s v="O157"/>
    <s v="H7"/>
    <s v="O157:H7"/>
    <n v="1"/>
    <n v="1"/>
    <n v="1"/>
    <n v="0"/>
    <n v="1"/>
    <n v="0"/>
    <x v="0"/>
    <n v="1"/>
  </r>
  <r>
    <s v="ERL04-3180"/>
    <n v="2004"/>
    <s v="SI"/>
    <s v="bovine"/>
    <s v="E. coli"/>
    <s v="AY2a"/>
    <n v="11"/>
    <n v="5407642"/>
    <n v="50.24"/>
    <n v="62"/>
    <n v="177"/>
    <n v="5174"/>
    <n v="179839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4-3193"/>
    <n v="2004"/>
    <s v="SI"/>
    <s v="bovine"/>
    <s v="E. coli"/>
    <s v="WY12a"/>
    <n v="11"/>
    <n v="5371574"/>
    <n v="50.21"/>
    <n v="126"/>
    <n v="136"/>
    <n v="5120"/>
    <n v="152178"/>
    <n v="1"/>
    <n v="1"/>
    <n v="1"/>
    <n v="1"/>
    <x v="1"/>
    <s v="Y12a"/>
    <s v="O157"/>
    <s v="H7"/>
    <s v="O157:H7"/>
    <n v="1"/>
    <n v="1"/>
    <n v="1"/>
    <n v="1"/>
    <n v="1"/>
    <n v="0"/>
    <x v="1"/>
    <n v="4"/>
  </r>
  <r>
    <s v="ERL04-3264"/>
    <n v="2004"/>
    <s v="SI"/>
    <s v="bovine"/>
    <s v="E. coli"/>
    <s v="WY12a"/>
    <n v="11"/>
    <n v="5385649"/>
    <n v="50.23"/>
    <n v="116"/>
    <n v="142"/>
    <n v="5154"/>
    <n v="152178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-04-3328"/>
    <n v="2004"/>
    <s v="NI"/>
    <s v="human"/>
    <s v="E. coli"/>
    <s v="WY12a"/>
    <n v="11"/>
    <n v="5404527"/>
    <n v="50.19"/>
    <n v="154"/>
    <n v="145"/>
    <n v="5161"/>
    <n v="149646"/>
    <n v="1"/>
    <n v="1"/>
    <n v="1"/>
    <n v="1"/>
    <x v="1"/>
    <s v="Y12a"/>
    <s v="O157"/>
    <s v="H7"/>
    <s v="O157:H7"/>
    <n v="1"/>
    <n v="1"/>
    <n v="1"/>
    <n v="1"/>
    <n v="1"/>
    <n v="0"/>
    <x v="1"/>
    <n v="4"/>
  </r>
  <r>
    <s v="ERL-04-3576"/>
    <n v="2004"/>
    <s v="SI"/>
    <s v="human"/>
    <s v="E. coli"/>
    <s v="AY2a"/>
    <n v="11"/>
    <n v="5473034"/>
    <n v="50.27"/>
    <n v="139"/>
    <n v="150"/>
    <n v="5253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2"/>
  </r>
  <r>
    <s v="ERL-04-3763"/>
    <n v="2004"/>
    <s v="SI"/>
    <s v="human"/>
    <s v="E. coli"/>
    <s v="ASY2c"/>
    <n v="11"/>
    <n v="5508444"/>
    <n v="50.19"/>
    <n v="128"/>
    <n v="165"/>
    <n v="5268"/>
    <n v="185198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-04-3852-S4"/>
    <n v="2004"/>
    <s v="NI"/>
    <s v="human"/>
    <s v="E. coli"/>
    <s v="AY2a"/>
    <n v="11"/>
    <n v="5372278"/>
    <n v="50.26"/>
    <n v="157"/>
    <n v="134"/>
    <n v="5129"/>
    <n v="201721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-04-3852-S5"/>
    <n v="2005"/>
    <s v="SI"/>
    <s v="human"/>
    <s v="E. coli"/>
    <s v="AY2a"/>
    <n v="11"/>
    <n v="5448403"/>
    <n v="50.17"/>
    <n v="152"/>
    <n v="154"/>
    <n v="5236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2"/>
  </r>
  <r>
    <s v="ERL-04-602"/>
    <n v="2004"/>
    <s v="NI"/>
    <s v="human"/>
    <s v="E. coli"/>
    <s v="AY"/>
    <n v="11"/>
    <n v="5322018"/>
    <n v="50.28"/>
    <n v="136"/>
    <n v="144"/>
    <n v="5068"/>
    <n v="183972"/>
    <n v="0"/>
    <n v="0"/>
    <n v="0"/>
    <n v="0"/>
    <x v="8"/>
    <s v="AY"/>
    <s v="O157"/>
    <s v="H7"/>
    <s v="O157:H7"/>
    <n v="1"/>
    <n v="1"/>
    <n v="1"/>
    <n v="0"/>
    <n v="0"/>
    <n v="0"/>
    <x v="2"/>
    <n v="7"/>
  </r>
  <r>
    <s v="ERL-05-1169"/>
    <n v="2005"/>
    <s v="NI"/>
    <s v="human"/>
    <s v="E. coli"/>
    <s v="AY2a"/>
    <n v="11"/>
    <n v="5352978"/>
    <n v="50.28"/>
    <n v="139"/>
    <n v="145"/>
    <n v="5110"/>
    <n v="188197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-05-1243"/>
    <n v="2005"/>
    <s v="NI"/>
    <s v="human"/>
    <s v="E. coli"/>
    <s v="WY12a"/>
    <n v="11"/>
    <n v="5361198"/>
    <n v="50.29"/>
    <n v="132"/>
    <n v="129"/>
    <n v="5110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5-1677"/>
    <n v="2005"/>
    <s v="SI"/>
    <s v="human"/>
    <s v="E. coli"/>
    <s v="ASWY2c"/>
    <n v="11"/>
    <n v="5388250"/>
    <n v="50.25"/>
    <n v="99"/>
    <n v="146"/>
    <n v="5138"/>
    <n v="188329"/>
    <n v="0"/>
    <n v="0"/>
    <n v="1"/>
    <n v="1"/>
    <x v="9"/>
    <s v="ASWY2c"/>
    <s v="O157"/>
    <s v="H7"/>
    <s v="O157:H7"/>
    <n v="1"/>
    <n v="1"/>
    <n v="1"/>
    <n v="0"/>
    <n v="0"/>
    <n v="1"/>
    <x v="2"/>
    <n v="7"/>
  </r>
  <r>
    <s v="ERL-05-2349"/>
    <n v="2005"/>
    <s v="NI"/>
    <s v="human"/>
    <s v="E. coli"/>
    <s v="ASY2c"/>
    <n v="11"/>
    <n v="5478634"/>
    <n v="50.24"/>
    <n v="156"/>
    <n v="164"/>
    <n v="5222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9"/>
  </r>
  <r>
    <s v="ERL05-2493"/>
    <n v="2005"/>
    <s v="NI"/>
    <s v="bovine"/>
    <s v="E. coli"/>
    <s v="WY12a"/>
    <n v="11"/>
    <n v="5282599"/>
    <n v="50.3"/>
    <n v="92"/>
    <n v="134"/>
    <n v="4998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5-3130"/>
    <n v="2005"/>
    <s v="SI"/>
    <s v="bovine"/>
    <s v="E. coli"/>
    <s v="AY2a"/>
    <n v="11"/>
    <n v="5411507"/>
    <n v="50.26"/>
    <n v="107"/>
    <n v="145"/>
    <n v="5179"/>
    <n v="201721"/>
    <n v="0"/>
    <n v="0"/>
    <n v="1"/>
    <n v="1"/>
    <x v="0"/>
    <s v="A2a"/>
    <s v="O157"/>
    <s v="H7"/>
    <s v="O157:H7"/>
    <n v="1"/>
    <n v="1"/>
    <n v="1"/>
    <n v="0"/>
    <n v="1"/>
    <n v="0"/>
    <x v="0"/>
    <n v="2"/>
  </r>
  <r>
    <s v="ERL05-3260"/>
    <n v="2005"/>
    <s v="NI"/>
    <s v="bovine"/>
    <s v="E. coli"/>
    <s v="AY2a"/>
    <n v="11"/>
    <n v="5419596"/>
    <n v="50.2"/>
    <n v="110"/>
    <n v="132"/>
    <n v="5180"/>
    <n v="185727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-05-3299"/>
    <n v="2005"/>
    <s v="SI"/>
    <s v="human"/>
    <s v="E. coli"/>
    <s v="SY2c"/>
    <n v="11"/>
    <n v="5399396"/>
    <n v="50.21"/>
    <n v="121"/>
    <n v="164"/>
    <n v="5152"/>
    <n v="188529"/>
    <n v="0"/>
    <n v="0"/>
    <n v="1"/>
    <n v="1"/>
    <x v="6"/>
    <s v="SY2c"/>
    <s v="O157"/>
    <s v="H7"/>
    <s v="O157:H7"/>
    <n v="1"/>
    <n v="1"/>
    <n v="1"/>
    <n v="0"/>
    <n v="0"/>
    <n v="1"/>
    <x v="2"/>
    <n v="7"/>
  </r>
  <r>
    <s v="ERL05-599"/>
    <n v="2005"/>
    <s v="NI"/>
    <s v="bovine"/>
    <s v="E. coli"/>
    <s v="ASY2c"/>
    <n v="11"/>
    <n v="5381181"/>
    <n v="50.24"/>
    <n v="122"/>
    <n v="159"/>
    <n v="5115"/>
    <n v="178246"/>
    <n v="0"/>
    <n v="0"/>
    <n v="1"/>
    <n v="1"/>
    <x v="2"/>
    <s v="ASY2c"/>
    <s v="O157"/>
    <s v="H7"/>
    <s v="O157:H7"/>
    <n v="1"/>
    <n v="1"/>
    <n v="1"/>
    <n v="0"/>
    <n v="0"/>
    <n v="1"/>
    <x v="2"/>
    <n v="10"/>
  </r>
  <r>
    <s v="ERL05-623"/>
    <n v="2005"/>
    <s v="SI"/>
    <s v="bovine"/>
    <s v="E. coli"/>
    <s v="WY12a"/>
    <n v="11"/>
    <n v="5330727"/>
    <n v="50.28"/>
    <n v="89"/>
    <n v="131"/>
    <n v="5055"/>
    <n v="190104"/>
    <n v="1"/>
    <n v="1"/>
    <n v="1"/>
    <n v="1"/>
    <x v="1"/>
    <s v="Y12a"/>
    <s v="O157"/>
    <s v="H7"/>
    <s v="O157:H7"/>
    <n v="1"/>
    <n v="1"/>
    <n v="1"/>
    <n v="1"/>
    <n v="1"/>
    <n v="0"/>
    <x v="1"/>
    <n v="4"/>
  </r>
  <r>
    <s v="ERL06-2494"/>
    <n v="2006"/>
    <s v="NI"/>
    <s v="bovine"/>
    <s v="E. coli"/>
    <s v="AY2a"/>
    <n v="11"/>
    <n v="5422458"/>
    <n v="50.25"/>
    <n v="106"/>
    <n v="145"/>
    <n v="5198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6-3112"/>
    <n v="2006"/>
    <s v="NI"/>
    <s v="bovine"/>
    <s v="E. coli"/>
    <s v="AY2a"/>
    <n v="11"/>
    <n v="5403447"/>
    <n v="50.26"/>
    <n v="90"/>
    <n v="149"/>
    <n v="5172"/>
    <n v="18373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6-3117"/>
    <n v="2006"/>
    <s v="SI"/>
    <s v="bovine"/>
    <s v="E. coli"/>
    <s v="WY12a"/>
    <n v="11"/>
    <n v="5368105"/>
    <n v="50.2"/>
    <n v="98"/>
    <n v="136"/>
    <n v="5115"/>
    <n v="152178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6-3151"/>
    <n v="2006"/>
    <s v="SI"/>
    <s v="bovine"/>
    <s v="E. coli"/>
    <s v="ASY2c"/>
    <n v="11"/>
    <n v="5326517"/>
    <n v="50.28"/>
    <n v="81"/>
    <n v="128"/>
    <n v="5080"/>
    <n v="211449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-06-3358"/>
    <n v="2006"/>
    <s v="SI"/>
    <s v="human"/>
    <s v="E. coli"/>
    <s v="AY2a"/>
    <n v="11"/>
    <n v="5404593"/>
    <n v="50.26"/>
    <n v="149"/>
    <n v="150"/>
    <n v="5169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2"/>
  </r>
  <r>
    <s v="ERL06-3513"/>
    <n v="2006"/>
    <s v="NI"/>
    <s v="bovine"/>
    <s v="E. coli"/>
    <s v="WY12a"/>
    <n v="11"/>
    <n v="5564009"/>
    <n v="50.26"/>
    <n v="89"/>
    <n v="185"/>
    <n v="5368"/>
    <n v="148217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6-4361"/>
    <n v="2006"/>
    <s v="NI"/>
    <s v="human"/>
    <s v="E. coli"/>
    <s v="A2a"/>
    <n v="11"/>
    <n v="5450211"/>
    <n v="50.29"/>
    <n v="79"/>
    <n v="126"/>
    <n v="5201"/>
    <n v="201721"/>
    <n v="0"/>
    <n v="0"/>
    <n v="1"/>
    <n v="1"/>
    <x v="10"/>
    <s v="A2a"/>
    <s v="O157"/>
    <s v="H7"/>
    <s v="O157:H7"/>
    <n v="1"/>
    <n v="1"/>
    <n v="1"/>
    <n v="0"/>
    <n v="1"/>
    <n v="0"/>
    <x v="0"/>
    <n v="1"/>
  </r>
  <r>
    <s v="ERL-06-4465"/>
    <n v="2006"/>
    <s v="SI"/>
    <s v="human"/>
    <s v="E. coli"/>
    <s v="ASY2c"/>
    <n v="11"/>
    <n v="5452123"/>
    <n v="50.29"/>
    <n v="110"/>
    <n v="162"/>
    <n v="5196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-06-677"/>
    <n v="2006"/>
    <s v="NI"/>
    <s v="human"/>
    <s v="E. coli"/>
    <s v="WY12a"/>
    <n v="11"/>
    <n v="5458835"/>
    <n v="50.21"/>
    <n v="153"/>
    <n v="146"/>
    <n v="5221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6-726"/>
    <n v="2006"/>
    <s v="SI"/>
    <s v="human"/>
    <s v="E. coli"/>
    <s v="ASY2c"/>
    <n v="11"/>
    <n v="5407970"/>
    <n v="50.25"/>
    <n v="84"/>
    <n v="172"/>
    <n v="5151"/>
    <n v="163252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07-1133"/>
    <n v="2007"/>
    <m/>
    <s v="bovine"/>
    <s v="E. coli"/>
    <s v="AY2a"/>
    <n v="11"/>
    <n v="5477130"/>
    <n v="50.21"/>
    <n v="86"/>
    <n v="146"/>
    <n v="5254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7-154"/>
    <n v="2007"/>
    <s v="NI"/>
    <s v="bovine"/>
    <s v="E. coli"/>
    <s v="ASY2c"/>
    <n v="11"/>
    <n v="5395472"/>
    <n v="50.23"/>
    <n v="91"/>
    <n v="147"/>
    <n v="5154"/>
    <n v="188530"/>
    <n v="0"/>
    <n v="0"/>
    <n v="0"/>
    <n v="1"/>
    <x v="2"/>
    <s v="ASY2c"/>
    <s v="O157"/>
    <s v="H7"/>
    <s v="O157:H7"/>
    <n v="1"/>
    <n v="1"/>
    <n v="1"/>
    <n v="0"/>
    <n v="0"/>
    <n v="0"/>
    <x v="3"/>
    <n v="11"/>
  </r>
  <r>
    <s v="ERL-07-155"/>
    <n v="2007"/>
    <s v="NI"/>
    <s v="human"/>
    <s v="E. coli"/>
    <s v="ASY2c"/>
    <n v="11"/>
    <n v="5468373"/>
    <n v="50.25"/>
    <n v="160"/>
    <n v="165"/>
    <n v="5232"/>
    <n v="202031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ERL07-2285"/>
    <n v="2007"/>
    <m/>
    <s v="bovine"/>
    <s v="E. coli"/>
    <s v="AY2a"/>
    <n v="11"/>
    <n v="5456271"/>
    <n v="50.19"/>
    <n v="75"/>
    <n v="160"/>
    <n v="5238"/>
    <n v="163246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7-2341"/>
    <n v="2007"/>
    <s v="NI"/>
    <s v="bovine"/>
    <s v="E. coli"/>
    <s v="AY2a"/>
    <n v="11"/>
    <n v="5398295"/>
    <n v="50.25"/>
    <n v="79"/>
    <n v="139"/>
    <n v="5157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7-2638"/>
    <n v="2007"/>
    <s v="NI"/>
    <s v="bovine"/>
    <s v="E. coli"/>
    <s v="WY12a"/>
    <n v="11"/>
    <n v="5386757"/>
    <n v="50.22"/>
    <n v="90"/>
    <n v="129"/>
    <n v="5136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07-2698"/>
    <n v="2007"/>
    <s v="SI"/>
    <s v="bovine"/>
    <s v="E. coli"/>
    <s v="ASY2c"/>
    <n v="11"/>
    <n v="5373388"/>
    <n v="50.24"/>
    <n v="92"/>
    <n v="139"/>
    <n v="5120"/>
    <n v="163239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ERL-07-2865"/>
    <n v="2007"/>
    <s v="NI"/>
    <s v="human"/>
    <s v="E. coli"/>
    <s v="AY2a"/>
    <n v="11"/>
    <n v="5408479"/>
    <n v="50.26"/>
    <n v="128"/>
    <n v="177"/>
    <n v="5174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-07-3071"/>
    <n v="2007"/>
    <s v="SI"/>
    <s v="human"/>
    <s v="E. coli"/>
    <s v="WY12a"/>
    <n v="11"/>
    <n v="5270154"/>
    <n v="50.3"/>
    <n v="92"/>
    <n v="119"/>
    <n v="4981"/>
    <n v="188388"/>
    <n v="1"/>
    <n v="1"/>
    <n v="1"/>
    <n v="1"/>
    <x v="1"/>
    <s v="Y12a"/>
    <s v="O157"/>
    <s v="H7"/>
    <s v="O157:H7"/>
    <n v="1"/>
    <n v="1"/>
    <n v="1"/>
    <n v="1"/>
    <n v="1"/>
    <n v="0"/>
    <x v="1"/>
    <n v="4"/>
  </r>
  <r>
    <s v="ERL-07-314"/>
    <n v="2007"/>
    <s v="SI"/>
    <s v="human"/>
    <s v="E. coli"/>
    <s v="ASY2c"/>
    <n v="11"/>
    <n v="5461411"/>
    <n v="50.25"/>
    <n v="90"/>
    <n v="164"/>
    <n v="5205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9"/>
  </r>
  <r>
    <s v="ERL-07-811"/>
    <n v="2007"/>
    <s v="SI"/>
    <s v="human"/>
    <s v="E. coli"/>
    <s v="AY2a"/>
    <n v="11"/>
    <n v="5321525"/>
    <n v="50.27"/>
    <n v="142"/>
    <n v="121"/>
    <n v="5068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8-1743"/>
    <n v="2008"/>
    <s v="NI"/>
    <s v="human"/>
    <s v="E. coli"/>
    <s v="AY2a"/>
    <n v="11"/>
    <n v="5387046"/>
    <n v="50.25"/>
    <n v="79"/>
    <n v="136"/>
    <n v="5149"/>
    <n v="188961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8-1889"/>
    <n v="2008"/>
    <m/>
    <s v="bovine"/>
    <s v="E. coli"/>
    <s v="AY2a"/>
    <n v="11"/>
    <n v="5387718"/>
    <n v="50.26"/>
    <n v="97"/>
    <n v="136"/>
    <n v="5142"/>
    <n v="188959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8-1945"/>
    <n v="2008"/>
    <s v="NI"/>
    <s v="human"/>
    <s v="E. coli"/>
    <s v="AS12c"/>
    <n v="11"/>
    <n v="5355251"/>
    <n v="50.28"/>
    <n v="79"/>
    <n v="153"/>
    <n v="5090"/>
    <n v="163199"/>
    <n v="1"/>
    <n v="1"/>
    <n v="0"/>
    <n v="1"/>
    <x v="11"/>
    <s v="AS12c"/>
    <s v="O157"/>
    <s v="H7"/>
    <s v="O157:H7"/>
    <n v="1"/>
    <n v="1"/>
    <n v="1"/>
    <n v="1"/>
    <n v="0"/>
    <n v="0"/>
    <x v="3"/>
    <n v="12"/>
  </r>
  <r>
    <s v="ERL08-2000"/>
    <n v="2008"/>
    <s v="NI"/>
    <s v="human"/>
    <s v="E. coli"/>
    <s v="SY2c"/>
    <n v="11"/>
    <n v="5430690"/>
    <n v="50.16"/>
    <n v="85"/>
    <n v="149"/>
    <n v="5212"/>
    <n v="160337"/>
    <n v="0"/>
    <n v="0"/>
    <n v="1"/>
    <n v="1"/>
    <x v="6"/>
    <s v="SY2c"/>
    <s v="O157"/>
    <s v="H7"/>
    <s v="O157:H7"/>
    <n v="1"/>
    <n v="1"/>
    <n v="1"/>
    <n v="0"/>
    <n v="0"/>
    <n v="1"/>
    <x v="1"/>
    <n v="6"/>
  </r>
  <r>
    <s v="ERL-08-2021"/>
    <n v="2008"/>
    <s v="NI"/>
    <s v="human"/>
    <s v="E. coli"/>
    <s v="ASY2c"/>
    <n v="11"/>
    <n v="5364808"/>
    <n v="50.25"/>
    <n v="184"/>
    <n v="170"/>
    <n v="5092"/>
    <n v="188530"/>
    <n v="0"/>
    <n v="0"/>
    <n v="1"/>
    <n v="1"/>
    <x v="2"/>
    <s v="ASY2c"/>
    <s v="O157"/>
    <s v="H7"/>
    <s v="O157:H7"/>
    <n v="1"/>
    <n v="1"/>
    <n v="1"/>
    <n v="0"/>
    <n v="0"/>
    <n v="1"/>
    <x v="3"/>
    <n v="11"/>
  </r>
  <r>
    <s v="ERL-08-2124"/>
    <n v="2008"/>
    <s v="SI"/>
    <s v="human"/>
    <s v="E. coli"/>
    <s v="WY12a"/>
    <n v="11"/>
    <n v="5210638"/>
    <n v="50.33"/>
    <n v="93"/>
    <n v="134"/>
    <n v="4948"/>
    <n v="188388"/>
    <n v="1"/>
    <n v="1"/>
    <n v="1"/>
    <n v="1"/>
    <x v="1"/>
    <s v="WY12a"/>
    <s v="O157"/>
    <s v="H7"/>
    <s v="O157:H7"/>
    <n v="1"/>
    <n v="0"/>
    <n v="1"/>
    <n v="1"/>
    <n v="1"/>
    <n v="0"/>
    <x v="1"/>
    <n v="5"/>
  </r>
  <r>
    <s v="ERL-08-2970"/>
    <n v="2008"/>
    <s v="SI"/>
    <s v="human"/>
    <s v="E. coli"/>
    <s v="AY2a"/>
    <n v="11"/>
    <n v="5406874"/>
    <n v="50.27"/>
    <n v="134"/>
    <n v="163"/>
    <n v="5180"/>
    <n v="15858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-08-3021"/>
    <n v="2008"/>
    <s v="SI"/>
    <s v="human"/>
    <s v="E. coli"/>
    <s v="SY2c"/>
    <n v="11"/>
    <n v="5356803"/>
    <n v="50.29"/>
    <n v="124"/>
    <n v="175"/>
    <n v="5113"/>
    <n v="188530"/>
    <n v="0"/>
    <n v="0"/>
    <n v="1"/>
    <n v="1"/>
    <x v="6"/>
    <s v="SY2c"/>
    <s v="O157"/>
    <s v="H7"/>
    <s v="O157:H7"/>
    <n v="1"/>
    <n v="1"/>
    <n v="1"/>
    <n v="0"/>
    <n v="0"/>
    <n v="1"/>
    <x v="2"/>
    <n v="7"/>
  </r>
  <r>
    <s v="ERL-08-3450"/>
    <n v="2008"/>
    <s v="NI"/>
    <s v="human"/>
    <s v="E. coli"/>
    <s v="AY2a"/>
    <n v="10466"/>
    <n v="5409733"/>
    <n v="50.25"/>
    <n v="138"/>
    <n v="157"/>
    <n v="5183"/>
    <n v="188306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8-3922"/>
    <n v="2008"/>
    <s v="SI"/>
    <s v="bovine"/>
    <s v="E. coli"/>
    <s v="AY2a"/>
    <n v="11"/>
    <n v="5454872"/>
    <n v="50.12"/>
    <n v="84"/>
    <n v="147"/>
    <n v="5221"/>
    <n v="158586"/>
    <n v="0"/>
    <n v="0"/>
    <n v="1"/>
    <n v="1"/>
    <x v="0"/>
    <s v="AY2a"/>
    <s v="O157"/>
    <s v="H7"/>
    <s v="O157:H7"/>
    <n v="1"/>
    <n v="1"/>
    <n v="1"/>
    <n v="0"/>
    <n v="1"/>
    <n v="0"/>
    <x v="0"/>
    <n v="2"/>
  </r>
  <r>
    <s v="ERL08-4331"/>
    <n v="2008"/>
    <s v="SI"/>
    <s v="bovine"/>
    <s v="E. coli"/>
    <s v="AS2c"/>
    <n v="11"/>
    <n v="5367197"/>
    <n v="50.25"/>
    <n v="84"/>
    <n v="134"/>
    <n v="5111"/>
    <n v="237850"/>
    <n v="0"/>
    <n v="0"/>
    <n v="1"/>
    <n v="1"/>
    <x v="4"/>
    <s v="AS2c"/>
    <s v="O157"/>
    <s v="H7"/>
    <s v="O157:H7"/>
    <n v="1"/>
    <n v="1"/>
    <n v="1"/>
    <n v="0"/>
    <n v="0"/>
    <n v="1"/>
    <x v="2"/>
    <n v="9"/>
  </r>
  <r>
    <s v="ERL08949"/>
    <n v="2008"/>
    <s v="NI"/>
    <s v="human"/>
    <s v="E. coli"/>
    <s v="WY12a"/>
    <n v="11"/>
    <n v="5405345"/>
    <n v="50.2"/>
    <n v="137"/>
    <n v="144"/>
    <n v="5168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ERL08-987"/>
    <n v="2008"/>
    <s v="NI"/>
    <s v="bovine"/>
    <s v="E. coli"/>
    <s v="AS2c"/>
    <n v="11"/>
    <n v="5347611"/>
    <n v="50.28"/>
    <n v="93"/>
    <n v="113"/>
    <n v="5077"/>
    <n v="190247"/>
    <n v="0"/>
    <n v="0"/>
    <n v="1"/>
    <n v="1"/>
    <x v="4"/>
    <s v="AS2c"/>
    <s v="O157"/>
    <s v="H7"/>
    <s v="O157:H7"/>
    <n v="1"/>
    <n v="1"/>
    <n v="1"/>
    <n v="0"/>
    <n v="0"/>
    <n v="1"/>
    <x v="2"/>
    <n v="9"/>
  </r>
  <r>
    <s v="ERL09-1792"/>
    <n v="2009"/>
    <s v="SI"/>
    <s v="human"/>
    <s v="E. coli"/>
    <s v="ASY2c"/>
    <n v="11"/>
    <n v="5389364"/>
    <n v="50.25"/>
    <n v="119"/>
    <n v="151"/>
    <n v="5122"/>
    <n v="161130"/>
    <n v="0"/>
    <n v="0"/>
    <n v="1"/>
    <n v="1"/>
    <x v="2"/>
    <s v="ASY2c"/>
    <s v="O157"/>
    <s v="H7"/>
    <s v="O157:H7"/>
    <n v="1"/>
    <n v="1"/>
    <n v="1"/>
    <n v="0"/>
    <n v="0"/>
    <n v="1"/>
    <x v="2"/>
    <n v="9"/>
  </r>
  <r>
    <s v="ERL09-2373"/>
    <n v="2009"/>
    <s v="NI"/>
    <s v="bovine"/>
    <s v="E. coli"/>
    <s v="ASY2c"/>
    <n v="11"/>
    <n v="5379657"/>
    <n v="50.26"/>
    <n v="90"/>
    <n v="150"/>
    <n v="5122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09-2521"/>
    <n v="2009"/>
    <s v="SI"/>
    <s v="bovine"/>
    <s v="E. coli"/>
    <s v="ASY2c"/>
    <n v="11"/>
    <n v="5368846"/>
    <n v="50.28"/>
    <n v="97"/>
    <n v="131"/>
    <n v="5119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ERL09-2594"/>
    <n v="2009"/>
    <s v="NI"/>
    <s v="human"/>
    <s v="E. coli"/>
    <s v="AY2a"/>
    <n v="11"/>
    <n v="5414842"/>
    <n v="50.26"/>
    <n v="67"/>
    <n v="143"/>
    <n v="5191"/>
    <n v="188948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9-2641"/>
    <n v="2009"/>
    <s v="SI"/>
    <s v="bovine"/>
    <s v="E. coli"/>
    <s v="AY2a"/>
    <n v="11"/>
    <n v="5446957"/>
    <n v="50.16"/>
    <n v="78"/>
    <n v="135"/>
    <n v="5225"/>
    <n v="201723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09-3051"/>
    <n v="2009"/>
    <s v="NI"/>
    <s v="human"/>
    <s v="E. coli"/>
    <s v="WY12a"/>
    <n v="11"/>
    <n v="5399807"/>
    <n v="50.17"/>
    <n v="114"/>
    <n v="133"/>
    <n v="5143"/>
    <n v="150182"/>
    <n v="1"/>
    <n v="1"/>
    <n v="1"/>
    <n v="1"/>
    <x v="1"/>
    <s v="Y12a"/>
    <s v="O157"/>
    <s v="H7"/>
    <s v="O157:H7"/>
    <n v="1"/>
    <n v="1"/>
    <n v="1"/>
    <n v="1"/>
    <n v="1"/>
    <n v="0"/>
    <x v="1"/>
    <n v="4"/>
  </r>
  <r>
    <s v="ERL093134"/>
    <n v="2009"/>
    <s v="SI"/>
    <s v="human"/>
    <s v="E. coli"/>
    <s v="WY12a"/>
    <n v="11"/>
    <n v="5331049"/>
    <n v="50.28"/>
    <n v="198"/>
    <n v="153"/>
    <n v="5066"/>
    <n v="150862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ERL09-3411"/>
    <n v="2009"/>
    <s v="SI"/>
    <s v="bovine"/>
    <s v="E. coli"/>
    <s v="WY1"/>
    <n v="11"/>
    <n v="5384285"/>
    <n v="50.29"/>
    <n v="77"/>
    <n v="136"/>
    <n v="5129"/>
    <n v="188388"/>
    <n v="1"/>
    <n v="1"/>
    <n v="1"/>
    <n v="1"/>
    <x v="12"/>
    <s v="WY12a"/>
    <s v="O157"/>
    <s v="H7"/>
    <s v="O157:H7"/>
    <n v="1"/>
    <n v="1"/>
    <n v="1"/>
    <n v="1"/>
    <n v="1"/>
    <n v="0"/>
    <x v="1"/>
    <n v="4"/>
  </r>
  <r>
    <s v="ERL093611"/>
    <n v="2009"/>
    <s v="SI"/>
    <s v="human"/>
    <s v="E. coli"/>
    <s v="AY2a"/>
    <n v="11"/>
    <n v="5399658"/>
    <n v="50.25"/>
    <n v="105"/>
    <n v="158"/>
    <n v="5160"/>
    <n v="146987"/>
    <n v="0"/>
    <n v="0"/>
    <n v="1"/>
    <n v="1"/>
    <x v="0"/>
    <s v="AY2a"/>
    <s v="O157"/>
    <s v="H7"/>
    <s v="O157:H7"/>
    <n v="1"/>
    <n v="1"/>
    <n v="1"/>
    <n v="0"/>
    <n v="1"/>
    <n v="0"/>
    <x v="0"/>
    <n v="3"/>
  </r>
  <r>
    <s v="ERL093688"/>
    <n v="2009"/>
    <s v="NI"/>
    <s v="human"/>
    <s v="E. coli"/>
    <s v="ASY2c"/>
    <n v="11"/>
    <n v="5395793"/>
    <n v="50.17"/>
    <n v="113"/>
    <n v="154"/>
    <n v="5143"/>
    <n v="244562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ERL101381"/>
    <n v="2010"/>
    <s v="SI"/>
    <s v="human"/>
    <s v="E. coli"/>
    <s v="WY12a"/>
    <n v="11"/>
    <n v="5334442"/>
    <n v="50.28"/>
    <n v="187"/>
    <n v="154"/>
    <n v="5064"/>
    <n v="160335"/>
    <n v="1"/>
    <n v="1"/>
    <n v="1"/>
    <n v="1"/>
    <x v="1"/>
    <s v="Y12a"/>
    <s v="O157"/>
    <s v="H7"/>
    <s v="O157:H7"/>
    <n v="1"/>
    <n v="1"/>
    <n v="1"/>
    <n v="1"/>
    <n v="1"/>
    <n v="0"/>
    <x v="1"/>
    <n v="5"/>
  </r>
  <r>
    <s v="ERL101788"/>
    <n v="2010"/>
    <s v="NI"/>
    <s v="human"/>
    <s v="E. coli"/>
    <s v="WY12a"/>
    <n v="11"/>
    <n v="5334408"/>
    <n v="50.27"/>
    <n v="85"/>
    <n v="131"/>
    <n v="5068"/>
    <n v="150824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10-1821"/>
    <n v="2010"/>
    <s v="SI"/>
    <s v="human"/>
    <s v="E. coli"/>
    <s v="WY2c"/>
    <n v="11"/>
    <n v="5422339"/>
    <n v="50.17"/>
    <n v="106"/>
    <n v="138"/>
    <n v="5174"/>
    <n v="183826"/>
    <n v="0"/>
    <n v="0"/>
    <n v="1"/>
    <n v="1"/>
    <x v="13"/>
    <s v="SWY2c"/>
    <s v="O157"/>
    <s v="H7"/>
    <s v="O157:H7"/>
    <n v="1"/>
    <n v="1"/>
    <n v="1"/>
    <n v="0"/>
    <n v="0"/>
    <n v="1"/>
    <x v="3"/>
    <n v="11"/>
  </r>
  <r>
    <s v="ERL10-2113"/>
    <n v="2010"/>
    <s v="NI"/>
    <s v="human"/>
    <s v="E. coli"/>
    <s v="AY"/>
    <n v="11"/>
    <n v="5333137"/>
    <n v="50.25"/>
    <n v="34"/>
    <n v="191"/>
    <n v="5054"/>
    <n v="170456"/>
    <n v="0"/>
    <n v="0"/>
    <n v="1"/>
    <n v="0"/>
    <x v="8"/>
    <s v="ASY"/>
    <s v="O157"/>
    <s v="H7"/>
    <s v="O157:H7"/>
    <n v="1"/>
    <n v="1"/>
    <n v="1"/>
    <n v="0"/>
    <n v="0"/>
    <n v="0"/>
    <x v="2"/>
    <n v="10"/>
  </r>
  <r>
    <s v="ERL10-2267"/>
    <n v="2010"/>
    <s v="SI"/>
    <s v="bovine"/>
    <s v="E. coli"/>
    <s v="WY12a"/>
    <n v="11"/>
    <n v="5307840"/>
    <n v="50.29"/>
    <n v="139"/>
    <n v="129"/>
    <n v="5034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ERL102582"/>
    <n v="2010"/>
    <s v="SI"/>
    <s v="human"/>
    <s v="E. coli"/>
    <s v="AY2a"/>
    <n v="11"/>
    <n v="5397880"/>
    <n v="50.25"/>
    <n v="153"/>
    <n v="151"/>
    <n v="5163"/>
    <n v="147389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0-4349"/>
    <n v="2010"/>
    <s v="NI"/>
    <s v="human"/>
    <s v="E. coli"/>
    <s v="ASY12c"/>
    <n v="10467"/>
    <n v="5854111"/>
    <n v="50.1"/>
    <n v="106"/>
    <n v="180"/>
    <n v="5692"/>
    <n v="146496"/>
    <n v="1"/>
    <n v="1"/>
    <n v="1"/>
    <n v="1"/>
    <x v="14"/>
    <s v="ASY12c"/>
    <s v="O157"/>
    <s v="H7"/>
    <s v="O157:H7"/>
    <n v="1"/>
    <n v="1"/>
    <n v="1"/>
    <n v="1"/>
    <n v="0"/>
    <n v="1"/>
    <x v="3"/>
    <n v="12"/>
  </r>
  <r>
    <s v="ERL10-552"/>
    <n v="2010"/>
    <s v="NI"/>
    <s v="human"/>
    <s v="E. coli"/>
    <s v="AY2a"/>
    <n v="11"/>
    <n v="5528855"/>
    <n v="50.26"/>
    <n v="79"/>
    <n v="156"/>
    <n v="5329"/>
    <n v="181247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0-553"/>
    <n v="2010"/>
    <s v="NI"/>
    <s v="human"/>
    <s v="E. coli"/>
    <s v="AS2c"/>
    <n v="11"/>
    <n v="5378528"/>
    <n v="50.26"/>
    <n v="89"/>
    <n v="136"/>
    <n v="5110"/>
    <n v="239325"/>
    <n v="0"/>
    <n v="0"/>
    <n v="1"/>
    <n v="1"/>
    <x v="4"/>
    <s v="AS2c"/>
    <s v="O157"/>
    <s v="H7"/>
    <s v="O157:H7"/>
    <n v="1"/>
    <n v="1"/>
    <n v="1"/>
    <n v="0"/>
    <n v="0"/>
    <n v="1"/>
    <x v="2"/>
    <n v="9"/>
  </r>
  <r>
    <s v="ERL10-835"/>
    <n v="2010"/>
    <s v="SI"/>
    <s v="bovine"/>
    <s v="E. coli"/>
    <s v="AY2a"/>
    <n v="11"/>
    <n v="5414590"/>
    <n v="50.25"/>
    <n v="90"/>
    <n v="135"/>
    <n v="5188"/>
    <n v="188306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1-1029"/>
    <n v="2011"/>
    <s v="NI"/>
    <s v="bovine"/>
    <s v="E. coli"/>
    <s v="ASY2c"/>
    <n v="11"/>
    <n v="5389933"/>
    <n v="50.24"/>
    <n v="96"/>
    <n v="155"/>
    <n v="5141"/>
    <n v="188963"/>
    <n v="0"/>
    <n v="0"/>
    <n v="1"/>
    <n v="1"/>
    <x v="2"/>
    <s v="ASY2c"/>
    <s v="O157"/>
    <s v="H7"/>
    <s v="O157:H7"/>
    <n v="1"/>
    <n v="1"/>
    <n v="1"/>
    <n v="0"/>
    <n v="0"/>
    <n v="1"/>
    <x v="2"/>
    <n v="10"/>
  </r>
  <r>
    <s v="ERL11105"/>
    <n v="2011"/>
    <s v="NI"/>
    <s v="human"/>
    <s v="E. coli"/>
    <s v="AY2a"/>
    <n v="11"/>
    <n v="5359232"/>
    <n v="50.25"/>
    <n v="154"/>
    <n v="161"/>
    <n v="5093"/>
    <n v="18035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11514"/>
    <n v="2011"/>
    <s v="SI"/>
    <s v="human"/>
    <s v="E. coli"/>
    <s v="AY2a"/>
    <n v="11"/>
    <n v="5408634"/>
    <n v="50.25"/>
    <n v="154"/>
    <n v="175"/>
    <n v="5175"/>
    <n v="1806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11878"/>
    <n v="2011"/>
    <s v="NI"/>
    <s v="human"/>
    <s v="E. coli"/>
    <s v="WY12a"/>
    <n v="11"/>
    <n v="5488857"/>
    <n v="50.29"/>
    <n v="104"/>
    <n v="153"/>
    <n v="5250"/>
    <n v="160335"/>
    <n v="1"/>
    <n v="1"/>
    <n v="1"/>
    <n v="1"/>
    <x v="1"/>
    <s v="Y12a"/>
    <s v="O157"/>
    <s v="H7"/>
    <s v="O157:H7"/>
    <n v="1"/>
    <n v="1"/>
    <n v="1"/>
    <n v="1"/>
    <n v="1"/>
    <n v="0"/>
    <x v="1"/>
    <n v="5"/>
  </r>
  <r>
    <s v="ERL111881"/>
    <n v="2011"/>
    <s v="NI"/>
    <s v="human"/>
    <s v="E. coli"/>
    <s v="ASY2c"/>
    <n v="11"/>
    <n v="5355444"/>
    <n v="50.26"/>
    <n v="161"/>
    <n v="164"/>
    <n v="5080"/>
    <n v="236144"/>
    <n v="0"/>
    <n v="0"/>
    <n v="1"/>
    <n v="1"/>
    <x v="2"/>
    <s v="ASY2c"/>
    <s v="O157"/>
    <s v="H7"/>
    <s v="O157:H7"/>
    <n v="1"/>
    <n v="1"/>
    <n v="1"/>
    <n v="0"/>
    <n v="0"/>
    <n v="1"/>
    <x v="2"/>
    <n v="9"/>
  </r>
  <r>
    <s v="ERL11-2437"/>
    <n v="2011"/>
    <s v="NI"/>
    <s v="bovine"/>
    <s v="E. coli"/>
    <s v="WY12a"/>
    <n v="11"/>
    <n v="5360193"/>
    <n v="50.29"/>
    <n v="77"/>
    <n v="133"/>
    <n v="5108"/>
    <n v="18810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ERL11-2652"/>
    <n v="2011"/>
    <s v="SI"/>
    <s v="bovine"/>
    <s v="E. coli"/>
    <s v="WY12a"/>
    <n v="11"/>
    <n v="5352547"/>
    <n v="50.27"/>
    <n v="88"/>
    <n v="132"/>
    <n v="5097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ERL112838"/>
    <n v="2011"/>
    <s v="SI"/>
    <s v="human"/>
    <s v="E. coli"/>
    <s v="WY12a"/>
    <n v="11"/>
    <n v="5442472"/>
    <n v="50.3"/>
    <n v="200"/>
    <n v="154"/>
    <n v="5201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ERL11-2886"/>
    <n v="2011"/>
    <s v="SI"/>
    <s v="bovine"/>
    <s v="E. coli"/>
    <s v="AY2a"/>
    <n v="11"/>
    <n v="5400262"/>
    <n v="50.26"/>
    <n v="70"/>
    <n v="145"/>
    <n v="5176"/>
    <n v="187934"/>
    <n v="0"/>
    <n v="0"/>
    <n v="1"/>
    <n v="1"/>
    <x v="0"/>
    <s v="AY2a"/>
    <s v="O157"/>
    <s v="H7"/>
    <s v="O157:H7"/>
    <n v="1"/>
    <n v="1"/>
    <n v="1"/>
    <n v="0"/>
    <n v="1"/>
    <n v="0"/>
    <x v="0"/>
    <n v="3"/>
  </r>
  <r>
    <s v="ERL113692"/>
    <n v="2011"/>
    <s v="SI"/>
    <s v="human"/>
    <s v="E. coli"/>
    <s v="ASY2c"/>
    <n v="11"/>
    <n v="5572999"/>
    <n v="50.3"/>
    <n v="84"/>
    <n v="238"/>
    <n v="5330"/>
    <n v="73402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11-411"/>
    <n v="2011"/>
    <s v="NI"/>
    <s v="human"/>
    <s v="E. coli"/>
    <s v="AWY12a"/>
    <n v="11"/>
    <n v="5457478"/>
    <n v="50.18"/>
    <n v="51"/>
    <n v="169"/>
    <n v="5231"/>
    <n v="148206"/>
    <n v="1"/>
    <n v="1"/>
    <n v="1"/>
    <n v="1"/>
    <x v="15"/>
    <s v="AWY12a"/>
    <s v="O157"/>
    <s v="H7"/>
    <s v="O157:H7"/>
    <n v="1"/>
    <n v="1"/>
    <n v="1"/>
    <n v="1"/>
    <n v="1"/>
    <n v="0"/>
    <x v="1"/>
    <n v="4"/>
  </r>
  <r>
    <s v="ERL121115"/>
    <n v="2012"/>
    <s v="NI"/>
    <s v="human"/>
    <s v="E. coli"/>
    <s v="WY12a"/>
    <n v="11"/>
    <n v="5342681"/>
    <n v="50.27"/>
    <n v="129"/>
    <n v="144"/>
    <n v="5093"/>
    <n v="151170"/>
    <n v="1"/>
    <n v="1"/>
    <n v="1"/>
    <n v="1"/>
    <x v="1"/>
    <s v="Y12a"/>
    <s v="O157"/>
    <s v="H7"/>
    <s v="O157:H7"/>
    <n v="1"/>
    <n v="1"/>
    <n v="1"/>
    <n v="1"/>
    <n v="1"/>
    <n v="0"/>
    <x v="1"/>
    <n v="5"/>
  </r>
  <r>
    <s v="ERL-12-1148"/>
    <n v="2012"/>
    <s v="SI"/>
    <s v="human"/>
    <s v="E. coli"/>
    <s v="AY2a"/>
    <n v="11"/>
    <n v="5430495"/>
    <n v="50.25"/>
    <n v="135"/>
    <n v="141"/>
    <n v="5200"/>
    <n v="18373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21207"/>
    <n v="2012"/>
    <s v="SI"/>
    <s v="human"/>
    <s v="E. coli"/>
    <s v="WY12a"/>
    <n v="11"/>
    <n v="5344937"/>
    <n v="50.27"/>
    <n v="165"/>
    <n v="145"/>
    <n v="5091"/>
    <n v="151170"/>
    <n v="1"/>
    <n v="1"/>
    <n v="1"/>
    <n v="1"/>
    <x v="1"/>
    <s v="Y12a"/>
    <s v="O157"/>
    <s v="H7"/>
    <s v="O157:H7"/>
    <n v="1"/>
    <n v="1"/>
    <n v="1"/>
    <n v="1"/>
    <n v="1"/>
    <n v="0"/>
    <x v="1"/>
    <n v="5"/>
  </r>
  <r>
    <s v="ERL121344"/>
    <n v="2012"/>
    <s v="NI"/>
    <s v="human"/>
    <s v="E. coli"/>
    <s v="AY2a"/>
    <n v="11"/>
    <n v="5391790"/>
    <n v="50.26"/>
    <n v="143"/>
    <n v="170"/>
    <n v="5154"/>
    <n v="188306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ERL12-2002"/>
    <n v="2012"/>
    <s v="NI"/>
    <s v="human"/>
    <s v="E. coli"/>
    <s v="ASY2c"/>
    <n v="11"/>
    <n v="5394001"/>
    <n v="50.25"/>
    <n v="103"/>
    <n v="148"/>
    <n v="5153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12568"/>
    <n v="2012"/>
    <s v="SI"/>
    <s v="human"/>
    <s v="E. coli"/>
    <s v="ASY2c"/>
    <n v="11"/>
    <n v="5388781"/>
    <n v="50.24"/>
    <n v="125"/>
    <n v="168"/>
    <n v="5131"/>
    <n v="211432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ERL12-857"/>
    <n v="2012"/>
    <s v="NI"/>
    <s v="human"/>
    <s v="E. coli"/>
    <s v="Y1"/>
    <n v="11"/>
    <n v="5287033"/>
    <n v="50.28"/>
    <n v="98"/>
    <n v="137"/>
    <n v="5007"/>
    <n v="159929"/>
    <n v="1"/>
    <n v="1"/>
    <n v="0"/>
    <n v="0"/>
    <x v="5"/>
    <s v="Y1a"/>
    <s v="O157"/>
    <s v="H7"/>
    <s v="O157:H7"/>
    <n v="1"/>
    <n v="1"/>
    <n v="1"/>
    <n v="1"/>
    <n v="0"/>
    <n v="0"/>
    <x v="1"/>
    <n v="4"/>
  </r>
  <r>
    <s v="h110a"/>
    <n v="2010"/>
    <s v="NI"/>
    <s v="bovine"/>
    <s v="E. coli"/>
    <s v="ASY2c"/>
    <n v="11"/>
    <n v="5385279"/>
    <n v="50.26"/>
    <n v="118"/>
    <n v="167"/>
    <n v="5114"/>
    <n v="163226"/>
    <n v="0"/>
    <n v="0"/>
    <n v="1"/>
    <n v="1"/>
    <x v="2"/>
    <s v="ASY2c"/>
    <s v="O157"/>
    <s v="H7"/>
    <s v="O157:H7"/>
    <n v="1"/>
    <n v="1"/>
    <n v="1"/>
    <n v="0"/>
    <n v="0"/>
    <n v="1"/>
    <x v="2"/>
    <n v="10"/>
  </r>
  <r>
    <s v="H12ESR-1893"/>
    <n v="2012"/>
    <s v="SI"/>
    <s v="bovine"/>
    <s v="E. coli"/>
    <s v="WY1"/>
    <n v="11"/>
    <n v="5426104"/>
    <n v="50.27"/>
    <n v="84"/>
    <n v="141"/>
    <n v="5183"/>
    <n v="160335"/>
    <n v="1"/>
    <n v="1"/>
    <n v="0"/>
    <n v="0"/>
    <x v="12"/>
    <s v="WY1a"/>
    <s v="O157"/>
    <s v="H7"/>
    <s v="O157:H7"/>
    <n v="1"/>
    <n v="1"/>
    <n v="1"/>
    <n v="1"/>
    <n v="0"/>
    <n v="0"/>
    <x v="1"/>
    <n v="5"/>
  </r>
  <r>
    <s v="H12ESR-3001"/>
    <n v="2012"/>
    <s v="NI"/>
    <s v="bovine"/>
    <s v="E. coli"/>
    <s v="WY12a"/>
    <n v="11"/>
    <n v="5329584"/>
    <n v="50.27"/>
    <n v="81"/>
    <n v="127"/>
    <n v="5073"/>
    <n v="189180"/>
    <n v="1"/>
    <n v="1"/>
    <n v="1"/>
    <n v="1"/>
    <x v="1"/>
    <s v="Y12a"/>
    <s v="O157"/>
    <s v="H7"/>
    <s v="O157:H7"/>
    <n v="1"/>
    <n v="1"/>
    <n v="1"/>
    <n v="1"/>
    <n v="1"/>
    <n v="0"/>
    <x v="1"/>
    <n v="4"/>
  </r>
  <r>
    <s v="H12ESR-3003"/>
    <n v="2012"/>
    <s v="NI"/>
    <s v="bovine"/>
    <s v="E. coli"/>
    <s v="ASY2c"/>
    <n v="11"/>
    <n v="5321828"/>
    <n v="50.26"/>
    <n v="78"/>
    <n v="129"/>
    <n v="5050"/>
    <n v="188965"/>
    <n v="0"/>
    <n v="0"/>
    <n v="1"/>
    <n v="1"/>
    <x v="2"/>
    <s v="ASY2c"/>
    <s v="O157"/>
    <s v="H7"/>
    <s v="O157:H7"/>
    <n v="1"/>
    <n v="1"/>
    <n v="1"/>
    <n v="0"/>
    <n v="0"/>
    <n v="1"/>
    <x v="2"/>
    <n v="10"/>
  </r>
  <r>
    <s v="H12ESR-3802"/>
    <n v="2012"/>
    <s v="SI"/>
    <s v="bovine"/>
    <s v="E. coli"/>
    <s v="AY2a"/>
    <n v="11"/>
    <n v="5427252"/>
    <n v="50.27"/>
    <n v="82"/>
    <n v="159"/>
    <n v="5199"/>
    <n v="190970"/>
    <n v="0"/>
    <n v="0"/>
    <n v="1"/>
    <n v="1"/>
    <x v="0"/>
    <s v="AY2a"/>
    <s v="O157"/>
    <s v="H7"/>
    <s v="O157:H7"/>
    <n v="1"/>
    <n v="1"/>
    <n v="1"/>
    <n v="0"/>
    <n v="1"/>
    <n v="0"/>
    <x v="0"/>
    <n v="2"/>
  </r>
  <r>
    <s v="H12ESR-3850"/>
    <n v="2012"/>
    <s v="NI"/>
    <s v="bovine"/>
    <s v="E. coli"/>
    <s v="AY2a"/>
    <n v="11"/>
    <n v="5468326"/>
    <n v="50.28"/>
    <n v="78"/>
    <n v="160"/>
    <n v="5248"/>
    <n v="18373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H12ESR-4525"/>
    <n v="2012"/>
    <s v="SI"/>
    <s v="bovine"/>
    <s v="E. coli"/>
    <s v="ASY2c"/>
    <n v="10468"/>
    <n v="5388945"/>
    <n v="50.23"/>
    <n v="89"/>
    <n v="156"/>
    <n v="5136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H13ER-3948"/>
    <n v="2013"/>
    <s v="NI"/>
    <s v="human"/>
    <s v="E. coli"/>
    <s v="WY12a"/>
    <n v="11"/>
    <n v="5312096"/>
    <n v="50.26"/>
    <n v="129"/>
    <n v="129"/>
    <n v="5049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H13ER-5955"/>
    <n v="2013"/>
    <s v="NI"/>
    <s v="human"/>
    <s v="E. coli"/>
    <s v="AY2a"/>
    <n v="11"/>
    <n v="5411282"/>
    <n v="50.25"/>
    <n v="118"/>
    <n v="145"/>
    <n v="5177"/>
    <n v="157471"/>
    <n v="0"/>
    <n v="0"/>
    <n v="1"/>
    <n v="1"/>
    <x v="0"/>
    <s v="AY2a"/>
    <s v="O157"/>
    <s v="H7"/>
    <s v="O157:H7"/>
    <n v="1"/>
    <n v="1"/>
    <n v="1"/>
    <n v="0"/>
    <n v="1"/>
    <n v="0"/>
    <x v="0"/>
    <n v="3"/>
  </r>
  <r>
    <s v="H13ER-6408"/>
    <n v="2013"/>
    <s v="SI"/>
    <s v="human"/>
    <s v="E. coli"/>
    <s v="ASY2c"/>
    <n v="11"/>
    <n v="5371866"/>
    <n v="50.25"/>
    <n v="145"/>
    <n v="160"/>
    <n v="5121"/>
    <n v="160329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H13ER-6657"/>
    <n v="2013"/>
    <s v="SI"/>
    <s v="human"/>
    <s v="E. coli"/>
    <s v="AY2a"/>
    <n v="11"/>
    <n v="5455221"/>
    <n v="50.27"/>
    <n v="135"/>
    <n v="159"/>
    <n v="5242"/>
    <n v="158699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H13ESR-1331"/>
    <n v="2013"/>
    <s v="SI"/>
    <s v="human"/>
    <s v="E. coli"/>
    <s v="WY12a"/>
    <n v="11"/>
    <n v="5299439"/>
    <n v="50.28"/>
    <n v="153"/>
    <n v="131"/>
    <n v="5036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H13ESR-2152"/>
    <n v="2013"/>
    <s v="SI"/>
    <s v="bovine"/>
    <s v="E. coli"/>
    <s v="ASY2c"/>
    <n v="11"/>
    <n v="5396132"/>
    <n v="50.25"/>
    <n v="103"/>
    <n v="151"/>
    <n v="5141"/>
    <n v="189183"/>
    <n v="0"/>
    <n v="0"/>
    <n v="1"/>
    <n v="1"/>
    <x v="2"/>
    <s v="ASY2c"/>
    <s v="O157"/>
    <s v="H7"/>
    <s v="O157:H7"/>
    <n v="1"/>
    <n v="1"/>
    <n v="1"/>
    <n v="0"/>
    <n v="0"/>
    <n v="1"/>
    <x v="2"/>
    <n v="9"/>
  </r>
  <r>
    <s v="H13ESR-2208"/>
    <n v="2013"/>
    <s v="NI"/>
    <s v="bovine"/>
    <s v="E. coli"/>
    <s v="ASY2c"/>
    <n v="11"/>
    <n v="5386828"/>
    <n v="50.25"/>
    <n v="84"/>
    <n v="145"/>
    <n v="5130"/>
    <n v="188530"/>
    <n v="0"/>
    <n v="0"/>
    <n v="1"/>
    <n v="1"/>
    <x v="2"/>
    <s v="ASY2c"/>
    <s v="O157"/>
    <s v="H7"/>
    <s v="O157:H7"/>
    <n v="1"/>
    <n v="1"/>
    <n v="1"/>
    <n v="0"/>
    <n v="0"/>
    <n v="1"/>
    <x v="2"/>
    <n v="9"/>
  </r>
  <r>
    <s v="H13ESR-2383"/>
    <n v="2013"/>
    <s v="NI"/>
    <s v="human"/>
    <s v="E. coli"/>
    <s v="ASY2c"/>
    <n v="11"/>
    <n v="5363339"/>
    <n v="50.25"/>
    <n v="142"/>
    <n v="155"/>
    <n v="5111"/>
    <n v="188310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H13ESR-2556"/>
    <n v="2013"/>
    <s v="SI"/>
    <s v="bovine"/>
    <s v="E. coli"/>
    <s v="ASY2c"/>
    <n v="11"/>
    <n v="5392221"/>
    <n v="50.25"/>
    <n v="90"/>
    <n v="139"/>
    <n v="5138"/>
    <n v="236138"/>
    <n v="0"/>
    <n v="0"/>
    <n v="1"/>
    <n v="1"/>
    <x v="2"/>
    <s v="ASY2c"/>
    <s v="O157"/>
    <s v="H7"/>
    <s v="O157:H7"/>
    <n v="1"/>
    <n v="1"/>
    <n v="1"/>
    <n v="0"/>
    <n v="0"/>
    <n v="1"/>
    <x v="2"/>
    <n v="7"/>
  </r>
  <r>
    <s v="H14ER-1075"/>
    <n v="2014"/>
    <s v="SI"/>
    <s v="human"/>
    <s v="E. coli"/>
    <s v="WY12a"/>
    <n v="11"/>
    <n v="5401896"/>
    <n v="50.24"/>
    <n v="90"/>
    <n v="131"/>
    <n v="5167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H14ER-115"/>
    <n v="2014"/>
    <s v="SI"/>
    <s v="human"/>
    <s v="E. coli"/>
    <s v="ASY2c"/>
    <n v="11"/>
    <n v="5462246"/>
    <n v="50.26"/>
    <n v="145"/>
    <n v="154"/>
    <n v="5230"/>
    <n v="211465"/>
    <n v="0"/>
    <n v="0"/>
    <n v="1"/>
    <n v="1"/>
    <x v="2"/>
    <s v="ASY2c"/>
    <s v="O157"/>
    <s v="H7"/>
    <s v="O157:H7"/>
    <n v="1"/>
    <n v="1"/>
    <n v="1"/>
    <n v="0"/>
    <n v="0"/>
    <n v="1"/>
    <x v="2"/>
    <n v="8"/>
  </r>
  <r>
    <s v="H14ER-1245"/>
    <n v="2014"/>
    <s v="NI"/>
    <s v="human"/>
    <s v="E. coli"/>
    <s v="WY12a"/>
    <n v="11"/>
    <n v="5444167"/>
    <n v="50.22"/>
    <n v="140"/>
    <n v="144"/>
    <n v="5221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H14ER-1346"/>
    <n v="2014"/>
    <s v="NI"/>
    <s v="human"/>
    <s v="E. coli"/>
    <s v="AY2a"/>
    <n v="11"/>
    <n v="5415888"/>
    <n v="50.25"/>
    <n v="96"/>
    <n v="143"/>
    <n v="5195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H14ER-519"/>
    <n v="2014"/>
    <s v="SI"/>
    <s v="human"/>
    <s v="E. coli"/>
    <s v="AY2a"/>
    <n v="11"/>
    <n v="5511802"/>
    <n v="50.12"/>
    <n v="113"/>
    <n v="148"/>
    <n v="5321"/>
    <n v="178918"/>
    <n v="0"/>
    <n v="0"/>
    <n v="1"/>
    <n v="1"/>
    <x v="0"/>
    <s v="AY2a"/>
    <s v="O157"/>
    <s v="H7"/>
    <s v="O157:H7"/>
    <n v="1"/>
    <n v="1"/>
    <n v="1"/>
    <n v="0"/>
    <n v="1"/>
    <n v="0"/>
    <x v="0"/>
    <n v="3"/>
  </r>
  <r>
    <s v="H14ER-913"/>
    <n v="2014"/>
    <s v="NI"/>
    <s v="human"/>
    <s v="E. coli"/>
    <s v="AS2c"/>
    <n v="11"/>
    <n v="5449761"/>
    <n v="50.28"/>
    <n v="120"/>
    <n v="129"/>
    <n v="5202"/>
    <n v="222897"/>
    <n v="0"/>
    <n v="0"/>
    <n v="1"/>
    <n v="1"/>
    <x v="4"/>
    <s v="AS2c"/>
    <s v="O157"/>
    <s v="H7"/>
    <s v="O157:H7"/>
    <n v="1"/>
    <n v="1"/>
    <n v="1"/>
    <n v="0"/>
    <n v="0"/>
    <n v="1"/>
    <x v="2"/>
    <n v="9"/>
  </r>
  <r>
    <s v="h160a"/>
    <n v="2011"/>
    <s v="NI"/>
    <s v="bovine"/>
    <s v="E. coli"/>
    <s v="AY2a"/>
    <n v="11"/>
    <n v="5414207"/>
    <n v="50.26"/>
    <n v="125"/>
    <n v="158"/>
    <n v="5192"/>
    <n v="184636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H174a"/>
    <n v="2009"/>
    <s v="NI"/>
    <s v="bovine"/>
    <s v="E. coli"/>
    <s v="WY12a"/>
    <n v="11"/>
    <n v="5334619"/>
    <n v="50.27"/>
    <n v="120"/>
    <n v="142"/>
    <n v="5069"/>
    <n v="160335"/>
    <n v="1"/>
    <n v="1"/>
    <n v="1"/>
    <n v="1"/>
    <x v="1"/>
    <s v="WY12a"/>
    <s v="O157"/>
    <s v="H7"/>
    <s v="O157:H7"/>
    <n v="1"/>
    <n v="1"/>
    <n v="1"/>
    <n v="1"/>
    <n v="1"/>
    <n v="0"/>
    <x v="1"/>
    <n v="5"/>
  </r>
  <r>
    <s v="h25a"/>
    <n v="2010"/>
    <s v="NI"/>
    <s v="bovine"/>
    <s v="E. coli"/>
    <s v="WY12a"/>
    <n v="11"/>
    <n v="5235177"/>
    <n v="50.22"/>
    <n v="193"/>
    <n v="188"/>
    <n v="4941"/>
    <n v="127409"/>
    <n v="1"/>
    <n v="1"/>
    <n v="1"/>
    <n v="1"/>
    <x v="1"/>
    <s v="WY12a"/>
    <s v="O157"/>
    <s v="H7"/>
    <s v="O157:H7"/>
    <n v="1"/>
    <n v="1"/>
    <n v="1"/>
    <n v="1"/>
    <n v="1"/>
    <n v="0"/>
    <x v="1"/>
    <n v="4"/>
  </r>
  <r>
    <s v="H81a"/>
    <n v="2009"/>
    <s v="NI"/>
    <s v="bovine"/>
    <s v="E. coli"/>
    <s v="AY2a"/>
    <n v="11"/>
    <n v="5443021"/>
    <n v="50.29"/>
    <n v="100"/>
    <n v="158"/>
    <n v="5220"/>
    <n v="188305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Reference"/>
    <n v="2006"/>
    <s v="SI"/>
    <s v="bovine"/>
    <s v="E. coli"/>
    <s v="AY2a"/>
    <n v="11"/>
    <n v="5372234"/>
    <n v="50.29"/>
    <n v="109"/>
    <n v="113"/>
    <n v="5135"/>
    <n v="188961"/>
    <n v="0"/>
    <n v="0"/>
    <n v="1"/>
    <n v="1"/>
    <x v="0"/>
    <s v="AY2a"/>
    <s v="O157"/>
    <s v="H7"/>
    <s v="O157:H7"/>
    <n v="1"/>
    <n v="1"/>
    <n v="1"/>
    <n v="0"/>
    <n v="1"/>
    <n v="0"/>
    <x v="0"/>
    <n v="1"/>
  </r>
  <r>
    <s v="T53a"/>
    <n v="2010"/>
    <s v="SI"/>
    <s v="bovine"/>
    <s v="E. coli"/>
    <s v="SY2c"/>
    <n v="11"/>
    <n v="5272524"/>
    <n v="50.16"/>
    <n v="189"/>
    <n v="207"/>
    <n v="4987"/>
    <n v="132998"/>
    <n v="0"/>
    <n v="0"/>
    <n v="1"/>
    <n v="1"/>
    <x v="6"/>
    <s v="SY2c"/>
    <s v="O157"/>
    <s v="H7"/>
    <s v="O157:H7"/>
    <n v="1"/>
    <n v="1"/>
    <n v="1"/>
    <n v="0"/>
    <n v="0"/>
    <n v="1"/>
    <x v="2"/>
    <n v="8"/>
  </r>
  <r>
    <m/>
    <m/>
    <m/>
    <m/>
    <m/>
    <m/>
    <m/>
    <m/>
    <m/>
    <m/>
    <m/>
    <m/>
    <m/>
    <m/>
    <m/>
    <m/>
    <m/>
    <x v="16"/>
    <m/>
    <m/>
    <m/>
    <m/>
    <m/>
    <m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58D65-EDB9-4853-BE77-CF48405DB78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10"/>
        <item x="11"/>
        <item x="4"/>
        <item x="9"/>
        <item x="14"/>
        <item x="2"/>
        <item x="15"/>
        <item x="3"/>
        <item x="8"/>
        <item x="0"/>
        <item x="6"/>
        <item x="12"/>
        <item x="1"/>
        <item x="13"/>
        <item x="5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2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RB_level 1" fld="28" subtotal="count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33C9-4319-426E-95A9-7C2EA8496791}">
  <dimension ref="A3:S10"/>
  <sheetViews>
    <sheetView workbookViewId="0">
      <selection activeCell="U23" sqref="U23"/>
    </sheetView>
  </sheetViews>
  <sheetFormatPr defaultRowHeight="14.4" x14ac:dyDescent="0.3"/>
  <cols>
    <col min="1" max="1" width="17.5546875" bestFit="1" customWidth="1"/>
    <col min="2" max="2" width="15.5546875" bestFit="1" customWidth="1"/>
    <col min="3" max="3" width="6.109375" bestFit="1" customWidth="1"/>
    <col min="4" max="4" width="5.109375" bestFit="1" customWidth="1"/>
    <col min="5" max="5" width="7.88671875" bestFit="1" customWidth="1"/>
    <col min="6" max="6" width="7.109375" bestFit="1" customWidth="1"/>
    <col min="7" max="7" width="6.109375" bestFit="1" customWidth="1"/>
    <col min="8" max="8" width="8" bestFit="1" customWidth="1"/>
    <col min="9" max="9" width="7" bestFit="1" customWidth="1"/>
    <col min="10" max="10" width="3.21875" bestFit="1" customWidth="1"/>
    <col min="11" max="11" width="5.21875" bestFit="1" customWidth="1"/>
    <col min="12" max="12" width="4.88671875" bestFit="1" customWidth="1"/>
    <col min="13" max="13" width="4.77734375" bestFit="1" customWidth="1"/>
    <col min="14" max="14" width="6.77734375" bestFit="1" customWidth="1"/>
    <col min="15" max="15" width="5.6640625" bestFit="1" customWidth="1"/>
    <col min="16" max="16" width="3" bestFit="1" customWidth="1"/>
    <col min="17" max="17" width="3.88671875" bestFit="1" customWidth="1"/>
    <col min="18" max="18" width="7" bestFit="1" customWidth="1"/>
    <col min="19" max="19" width="10.77734375" bestFit="1" customWidth="1"/>
  </cols>
  <sheetData>
    <row r="3" spans="1:19" x14ac:dyDescent="0.3">
      <c r="A3" s="12" t="s">
        <v>224</v>
      </c>
      <c r="B3" s="12" t="s">
        <v>220</v>
      </c>
    </row>
    <row r="4" spans="1:19" x14ac:dyDescent="0.3">
      <c r="A4" s="12" t="s">
        <v>223</v>
      </c>
      <c r="B4" t="s">
        <v>88</v>
      </c>
      <c r="C4" t="s">
        <v>118</v>
      </c>
      <c r="D4" t="s">
        <v>53</v>
      </c>
      <c r="E4" t="s">
        <v>84</v>
      </c>
      <c r="F4" t="s">
        <v>150</v>
      </c>
      <c r="G4" t="s">
        <v>42</v>
      </c>
      <c r="H4" t="s">
        <v>165</v>
      </c>
      <c r="I4" t="s">
        <v>51</v>
      </c>
      <c r="J4" t="s">
        <v>80</v>
      </c>
      <c r="K4" t="s">
        <v>32</v>
      </c>
      <c r="L4" t="s">
        <v>61</v>
      </c>
      <c r="M4" t="s">
        <v>137</v>
      </c>
      <c r="N4" t="s">
        <v>39</v>
      </c>
      <c r="O4" t="s">
        <v>143</v>
      </c>
      <c r="P4" t="s">
        <v>58</v>
      </c>
      <c r="Q4" t="s">
        <v>64</v>
      </c>
      <c r="R4" t="s">
        <v>221</v>
      </c>
      <c r="S4" t="s">
        <v>222</v>
      </c>
    </row>
    <row r="5" spans="1:19" x14ac:dyDescent="0.3">
      <c r="A5" s="13">
        <v>1</v>
      </c>
      <c r="B5" s="14">
        <v>1</v>
      </c>
      <c r="C5" s="14"/>
      <c r="D5" s="14"/>
      <c r="E5" s="14"/>
      <c r="F5" s="14"/>
      <c r="G5" s="14"/>
      <c r="H5" s="14"/>
      <c r="I5" s="14">
        <v>2</v>
      </c>
      <c r="J5" s="14"/>
      <c r="K5" s="14">
        <v>47</v>
      </c>
      <c r="L5" s="14"/>
      <c r="M5" s="14"/>
      <c r="N5" s="14"/>
      <c r="O5" s="14"/>
      <c r="P5" s="14"/>
      <c r="Q5" s="14"/>
      <c r="R5" s="14"/>
      <c r="S5" s="14">
        <v>50</v>
      </c>
    </row>
    <row r="6" spans="1:19" x14ac:dyDescent="0.3">
      <c r="A6" s="13">
        <v>2</v>
      </c>
      <c r="B6" s="14"/>
      <c r="C6" s="14"/>
      <c r="D6" s="14"/>
      <c r="E6" s="14"/>
      <c r="F6" s="14"/>
      <c r="G6" s="14"/>
      <c r="H6" s="14">
        <v>1</v>
      </c>
      <c r="I6" s="14"/>
      <c r="J6" s="14"/>
      <c r="K6" s="14"/>
      <c r="L6" s="14">
        <v>1</v>
      </c>
      <c r="M6" s="14">
        <v>2</v>
      </c>
      <c r="N6" s="14">
        <v>39</v>
      </c>
      <c r="O6" s="14"/>
      <c r="P6" s="14">
        <v>2</v>
      </c>
      <c r="Q6" s="14">
        <v>1</v>
      </c>
      <c r="R6" s="14"/>
      <c r="S6" s="14">
        <v>46</v>
      </c>
    </row>
    <row r="7" spans="1:19" x14ac:dyDescent="0.3">
      <c r="A7" s="13">
        <v>3</v>
      </c>
      <c r="B7" s="14"/>
      <c r="C7" s="14"/>
      <c r="D7" s="14">
        <v>5</v>
      </c>
      <c r="E7" s="14">
        <v>1</v>
      </c>
      <c r="F7" s="14"/>
      <c r="G7" s="14">
        <v>31</v>
      </c>
      <c r="H7" s="14"/>
      <c r="I7" s="14"/>
      <c r="J7" s="14">
        <v>2</v>
      </c>
      <c r="K7" s="14"/>
      <c r="L7" s="14">
        <v>4</v>
      </c>
      <c r="M7" s="14"/>
      <c r="N7" s="14"/>
      <c r="O7" s="14"/>
      <c r="P7" s="14"/>
      <c r="Q7" s="14"/>
      <c r="R7" s="14"/>
      <c r="S7" s="14">
        <v>43</v>
      </c>
    </row>
    <row r="8" spans="1:19" x14ac:dyDescent="0.3">
      <c r="A8" s="13">
        <v>4</v>
      </c>
      <c r="B8" s="14"/>
      <c r="C8" s="14">
        <v>1</v>
      </c>
      <c r="D8" s="14"/>
      <c r="E8" s="14"/>
      <c r="F8" s="14">
        <v>1</v>
      </c>
      <c r="G8" s="14">
        <v>2</v>
      </c>
      <c r="H8" s="14"/>
      <c r="I8" s="14"/>
      <c r="J8" s="14"/>
      <c r="K8" s="14"/>
      <c r="L8" s="14"/>
      <c r="M8" s="14"/>
      <c r="N8" s="14"/>
      <c r="O8" s="14">
        <v>1</v>
      </c>
      <c r="P8" s="14"/>
      <c r="Q8" s="14"/>
      <c r="R8" s="14"/>
      <c r="S8" s="14">
        <v>5</v>
      </c>
    </row>
    <row r="9" spans="1:19" x14ac:dyDescent="0.3">
      <c r="A9" s="13" t="s">
        <v>221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3">
      <c r="A10" s="13" t="s">
        <v>222</v>
      </c>
      <c r="B10" s="14">
        <v>1</v>
      </c>
      <c r="C10" s="14">
        <v>1</v>
      </c>
      <c r="D10" s="14">
        <v>5</v>
      </c>
      <c r="E10" s="14">
        <v>1</v>
      </c>
      <c r="F10" s="14">
        <v>1</v>
      </c>
      <c r="G10" s="14">
        <v>33</v>
      </c>
      <c r="H10" s="14">
        <v>1</v>
      </c>
      <c r="I10" s="14">
        <v>2</v>
      </c>
      <c r="J10" s="14">
        <v>2</v>
      </c>
      <c r="K10" s="14">
        <v>47</v>
      </c>
      <c r="L10" s="14">
        <v>5</v>
      </c>
      <c r="M10" s="14">
        <v>2</v>
      </c>
      <c r="N10" s="14">
        <v>39</v>
      </c>
      <c r="O10" s="14">
        <v>1</v>
      </c>
      <c r="P10" s="14">
        <v>2</v>
      </c>
      <c r="Q10" s="14">
        <v>1</v>
      </c>
      <c r="R10" s="14"/>
      <c r="S10" s="14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66E6-CC76-4576-9937-A2634FAFC892}">
  <dimension ref="A1:AE145"/>
  <sheetViews>
    <sheetView tabSelected="1" zoomScale="115" zoomScaleNormal="115" workbookViewId="0">
      <selection activeCell="AC1" sqref="AC1:AE1048576"/>
    </sheetView>
  </sheetViews>
  <sheetFormatPr defaultRowHeight="14.4" x14ac:dyDescent="0.3"/>
  <cols>
    <col min="1" max="1" width="15" customWidth="1"/>
    <col min="2" max="2" width="11.109375" customWidth="1"/>
    <col min="18" max="18" width="17.3320312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218</v>
      </c>
      <c r="AD1" t="s">
        <v>219</v>
      </c>
      <c r="AE1" t="s">
        <v>225</v>
      </c>
    </row>
    <row r="2" spans="1:31" x14ac:dyDescent="0.3">
      <c r="A2" t="s">
        <v>28</v>
      </c>
      <c r="B2" s="2">
        <v>2008</v>
      </c>
      <c r="C2" s="2" t="s">
        <v>29</v>
      </c>
      <c r="D2" s="2" t="s">
        <v>30</v>
      </c>
      <c r="E2" s="1" t="s">
        <v>31</v>
      </c>
      <c r="F2" t="s">
        <v>32</v>
      </c>
      <c r="G2">
        <v>11</v>
      </c>
      <c r="H2">
        <v>5392488</v>
      </c>
      <c r="I2">
        <v>50.26</v>
      </c>
      <c r="J2">
        <v>77</v>
      </c>
      <c r="K2">
        <v>135</v>
      </c>
      <c r="L2">
        <v>5145</v>
      </c>
      <c r="M2">
        <v>201728</v>
      </c>
      <c r="N2">
        <v>0</v>
      </c>
      <c r="O2">
        <v>0</v>
      </c>
      <c r="P2">
        <v>1</v>
      </c>
      <c r="Q2">
        <v>1</v>
      </c>
      <c r="R2" t="s">
        <v>32</v>
      </c>
      <c r="S2" t="s">
        <v>32</v>
      </c>
      <c r="T2" t="s">
        <v>33</v>
      </c>
      <c r="U2" t="s">
        <v>34</v>
      </c>
      <c r="V2" t="s">
        <v>35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1</v>
      </c>
      <c r="AE2">
        <f>IF(AC2=4,3,AC2)</f>
        <v>1</v>
      </c>
    </row>
    <row r="3" spans="1:31" x14ac:dyDescent="0.3">
      <c r="A3" t="s">
        <v>36</v>
      </c>
      <c r="B3" s="3">
        <v>2013</v>
      </c>
      <c r="C3" s="3" t="s">
        <v>29</v>
      </c>
      <c r="D3" s="9" t="s">
        <v>30</v>
      </c>
      <c r="E3" s="1" t="s">
        <v>31</v>
      </c>
      <c r="F3" t="s">
        <v>32</v>
      </c>
      <c r="G3">
        <v>11</v>
      </c>
      <c r="H3">
        <v>5405020</v>
      </c>
      <c r="I3">
        <v>50.27</v>
      </c>
      <c r="J3">
        <v>72</v>
      </c>
      <c r="K3">
        <v>149</v>
      </c>
      <c r="L3">
        <v>5179</v>
      </c>
      <c r="M3">
        <v>188962</v>
      </c>
      <c r="N3">
        <v>0</v>
      </c>
      <c r="O3">
        <v>0</v>
      </c>
      <c r="P3">
        <v>1</v>
      </c>
      <c r="Q3">
        <v>1</v>
      </c>
      <c r="R3" t="s">
        <v>32</v>
      </c>
      <c r="S3" t="s">
        <v>32</v>
      </c>
      <c r="T3" t="s">
        <v>33</v>
      </c>
      <c r="U3" t="s">
        <v>34</v>
      </c>
      <c r="V3" t="s">
        <v>35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f t="shared" ref="AE3:AE66" si="0">IF(AC3=4,3,AC3)</f>
        <v>1</v>
      </c>
    </row>
    <row r="4" spans="1:31" x14ac:dyDescent="0.3">
      <c r="A4" t="s">
        <v>37</v>
      </c>
      <c r="B4" s="3">
        <v>2013</v>
      </c>
      <c r="C4" s="3" t="s">
        <v>38</v>
      </c>
      <c r="D4" s="9" t="s">
        <v>30</v>
      </c>
      <c r="E4" s="1" t="s">
        <v>31</v>
      </c>
      <c r="F4" t="s">
        <v>39</v>
      </c>
      <c r="G4">
        <v>11</v>
      </c>
      <c r="H4">
        <v>5442399</v>
      </c>
      <c r="I4">
        <v>50.23</v>
      </c>
      <c r="J4">
        <v>88</v>
      </c>
      <c r="K4">
        <v>133</v>
      </c>
      <c r="L4">
        <v>5208</v>
      </c>
      <c r="M4">
        <v>189042</v>
      </c>
      <c r="N4">
        <v>1</v>
      </c>
      <c r="O4">
        <v>1</v>
      </c>
      <c r="P4">
        <v>1</v>
      </c>
      <c r="Q4">
        <v>1</v>
      </c>
      <c r="R4" t="s">
        <v>39</v>
      </c>
      <c r="S4" t="s">
        <v>39</v>
      </c>
      <c r="T4" t="s">
        <v>33</v>
      </c>
      <c r="U4" t="s">
        <v>34</v>
      </c>
      <c r="V4" t="s">
        <v>35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2</v>
      </c>
      <c r="AD4">
        <v>4</v>
      </c>
      <c r="AE4">
        <f t="shared" si="0"/>
        <v>2</v>
      </c>
    </row>
    <row r="5" spans="1:31" x14ac:dyDescent="0.3">
      <c r="A5" t="s">
        <v>40</v>
      </c>
      <c r="B5" s="3">
        <v>2013</v>
      </c>
      <c r="C5" s="3" t="s">
        <v>29</v>
      </c>
      <c r="D5" s="9" t="s">
        <v>30</v>
      </c>
      <c r="E5" s="1" t="s">
        <v>31</v>
      </c>
      <c r="F5" t="s">
        <v>39</v>
      </c>
      <c r="G5">
        <v>10465</v>
      </c>
      <c r="H5">
        <v>5346027</v>
      </c>
      <c r="I5">
        <v>50.27</v>
      </c>
      <c r="J5">
        <v>91</v>
      </c>
      <c r="K5">
        <v>134</v>
      </c>
      <c r="L5">
        <v>5086</v>
      </c>
      <c r="M5">
        <v>160335</v>
      </c>
      <c r="N5">
        <v>1</v>
      </c>
      <c r="O5">
        <v>1</v>
      </c>
      <c r="P5">
        <v>1</v>
      </c>
      <c r="Q5">
        <v>1</v>
      </c>
      <c r="R5" t="s">
        <v>39</v>
      </c>
      <c r="S5" t="s">
        <v>39</v>
      </c>
      <c r="T5" t="s">
        <v>33</v>
      </c>
      <c r="U5" t="s">
        <v>34</v>
      </c>
      <c r="V5" t="s">
        <v>35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2</v>
      </c>
      <c r="AD5">
        <v>5</v>
      </c>
      <c r="AE5">
        <f t="shared" si="0"/>
        <v>2</v>
      </c>
    </row>
    <row r="6" spans="1:31" x14ac:dyDescent="0.3">
      <c r="A6" t="s">
        <v>41</v>
      </c>
      <c r="B6" s="3">
        <v>2014</v>
      </c>
      <c r="C6" s="3" t="s">
        <v>38</v>
      </c>
      <c r="D6" s="9" t="s">
        <v>30</v>
      </c>
      <c r="E6" s="1" t="s">
        <v>31</v>
      </c>
      <c r="F6" t="s">
        <v>42</v>
      </c>
      <c r="G6">
        <v>11</v>
      </c>
      <c r="H6">
        <v>5386937</v>
      </c>
      <c r="I6">
        <v>50.26</v>
      </c>
      <c r="J6">
        <v>70</v>
      </c>
      <c r="K6">
        <v>163</v>
      </c>
      <c r="L6">
        <v>5134</v>
      </c>
      <c r="M6">
        <v>188530</v>
      </c>
      <c r="N6">
        <v>0</v>
      </c>
      <c r="O6">
        <v>0</v>
      </c>
      <c r="P6">
        <v>1</v>
      </c>
      <c r="Q6">
        <v>1</v>
      </c>
      <c r="R6" t="s">
        <v>42</v>
      </c>
      <c r="S6" t="s">
        <v>42</v>
      </c>
      <c r="T6" t="s">
        <v>33</v>
      </c>
      <c r="U6" t="s">
        <v>34</v>
      </c>
      <c r="V6" t="s">
        <v>35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3</v>
      </c>
      <c r="AD6">
        <v>7</v>
      </c>
      <c r="AE6">
        <f t="shared" si="0"/>
        <v>3</v>
      </c>
    </row>
    <row r="7" spans="1:31" x14ac:dyDescent="0.3">
      <c r="A7" t="s">
        <v>43</v>
      </c>
      <c r="B7" s="3">
        <v>2014</v>
      </c>
      <c r="C7" s="3" t="s">
        <v>29</v>
      </c>
      <c r="D7" s="9" t="s">
        <v>30</v>
      </c>
      <c r="E7" s="1" t="s">
        <v>31</v>
      </c>
      <c r="F7" t="s">
        <v>39</v>
      </c>
      <c r="G7">
        <v>11</v>
      </c>
      <c r="H7">
        <v>5407597</v>
      </c>
      <c r="I7">
        <v>50.29</v>
      </c>
      <c r="J7">
        <v>111</v>
      </c>
      <c r="K7">
        <v>139</v>
      </c>
      <c r="L7">
        <v>5157</v>
      </c>
      <c r="M7">
        <v>160335</v>
      </c>
      <c r="N7">
        <v>1</v>
      </c>
      <c r="O7">
        <v>1</v>
      </c>
      <c r="P7">
        <v>1</v>
      </c>
      <c r="Q7">
        <v>1</v>
      </c>
      <c r="R7" t="s">
        <v>39</v>
      </c>
      <c r="S7" t="s">
        <v>39</v>
      </c>
      <c r="T7" t="s">
        <v>33</v>
      </c>
      <c r="U7" t="s">
        <v>34</v>
      </c>
      <c r="V7" t="s">
        <v>35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2</v>
      </c>
      <c r="AD7">
        <v>5</v>
      </c>
      <c r="AE7">
        <f t="shared" si="0"/>
        <v>2</v>
      </c>
    </row>
    <row r="8" spans="1:31" x14ac:dyDescent="0.3">
      <c r="A8" t="s">
        <v>44</v>
      </c>
      <c r="B8" s="3">
        <v>2014</v>
      </c>
      <c r="C8" s="3" t="s">
        <v>38</v>
      </c>
      <c r="D8" s="9" t="s">
        <v>30</v>
      </c>
      <c r="E8" s="1" t="s">
        <v>31</v>
      </c>
      <c r="F8" t="s">
        <v>32</v>
      </c>
      <c r="G8">
        <v>11</v>
      </c>
      <c r="H8">
        <v>5445911</v>
      </c>
      <c r="I8">
        <v>50.3</v>
      </c>
      <c r="J8">
        <v>76</v>
      </c>
      <c r="K8">
        <v>151</v>
      </c>
      <c r="L8">
        <v>5219</v>
      </c>
      <c r="M8">
        <v>188305</v>
      </c>
      <c r="N8">
        <v>0</v>
      </c>
      <c r="O8">
        <v>0</v>
      </c>
      <c r="P8">
        <v>1</v>
      </c>
      <c r="Q8">
        <v>1</v>
      </c>
      <c r="R8" t="s">
        <v>32</v>
      </c>
      <c r="S8" t="s">
        <v>32</v>
      </c>
      <c r="T8" t="s">
        <v>33</v>
      </c>
      <c r="U8" t="s">
        <v>34</v>
      </c>
      <c r="V8" t="s">
        <v>35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2</v>
      </c>
      <c r="AE8">
        <f t="shared" si="0"/>
        <v>1</v>
      </c>
    </row>
    <row r="9" spans="1:31" x14ac:dyDescent="0.3">
      <c r="A9" t="s">
        <v>45</v>
      </c>
      <c r="B9" s="3">
        <v>2014</v>
      </c>
      <c r="C9" s="3" t="s">
        <v>29</v>
      </c>
      <c r="D9" s="9" t="s">
        <v>30</v>
      </c>
      <c r="E9" s="1" t="s">
        <v>31</v>
      </c>
      <c r="F9" t="s">
        <v>42</v>
      </c>
      <c r="G9">
        <v>11</v>
      </c>
      <c r="H9">
        <v>5440749</v>
      </c>
      <c r="I9">
        <v>50.18</v>
      </c>
      <c r="J9">
        <v>107</v>
      </c>
      <c r="K9">
        <v>150</v>
      </c>
      <c r="L9">
        <v>5209</v>
      </c>
      <c r="M9">
        <v>256088</v>
      </c>
      <c r="N9">
        <v>0</v>
      </c>
      <c r="O9">
        <v>0</v>
      </c>
      <c r="P9">
        <v>1</v>
      </c>
      <c r="Q9">
        <v>1</v>
      </c>
      <c r="R9" t="s">
        <v>42</v>
      </c>
      <c r="S9" t="s">
        <v>42</v>
      </c>
      <c r="T9" t="s">
        <v>33</v>
      </c>
      <c r="U9" t="s">
        <v>34</v>
      </c>
      <c r="V9" t="s">
        <v>35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3</v>
      </c>
      <c r="AD9">
        <v>8</v>
      </c>
      <c r="AE9">
        <f t="shared" si="0"/>
        <v>3</v>
      </c>
    </row>
    <row r="10" spans="1:31" x14ac:dyDescent="0.3">
      <c r="A10" t="s">
        <v>46</v>
      </c>
      <c r="B10" s="3">
        <v>2014</v>
      </c>
      <c r="C10" s="3" t="s">
        <v>38</v>
      </c>
      <c r="D10" s="9" t="s">
        <v>30</v>
      </c>
      <c r="E10" s="1" t="s">
        <v>31</v>
      </c>
      <c r="F10" t="s">
        <v>39</v>
      </c>
      <c r="G10">
        <v>11</v>
      </c>
      <c r="H10">
        <v>5353674</v>
      </c>
      <c r="I10">
        <v>50.21</v>
      </c>
      <c r="J10">
        <v>51</v>
      </c>
      <c r="K10">
        <v>134</v>
      </c>
      <c r="L10">
        <v>5103</v>
      </c>
      <c r="M10">
        <v>188387</v>
      </c>
      <c r="N10">
        <v>1</v>
      </c>
      <c r="O10">
        <v>1</v>
      </c>
      <c r="P10">
        <v>1</v>
      </c>
      <c r="Q10">
        <v>1</v>
      </c>
      <c r="R10" t="s">
        <v>39</v>
      </c>
      <c r="S10" t="s">
        <v>39</v>
      </c>
      <c r="T10" t="s">
        <v>33</v>
      </c>
      <c r="U10" t="s">
        <v>34</v>
      </c>
      <c r="V10" t="s">
        <v>35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2</v>
      </c>
      <c r="AD10">
        <v>4</v>
      </c>
      <c r="AE10">
        <f t="shared" si="0"/>
        <v>2</v>
      </c>
    </row>
    <row r="11" spans="1:31" x14ac:dyDescent="0.3">
      <c r="A11" t="s">
        <v>47</v>
      </c>
      <c r="B11" s="3">
        <v>2014</v>
      </c>
      <c r="C11" s="3" t="s">
        <v>29</v>
      </c>
      <c r="D11" s="9" t="s">
        <v>30</v>
      </c>
      <c r="E11" s="1" t="s">
        <v>31</v>
      </c>
      <c r="F11" t="s">
        <v>32</v>
      </c>
      <c r="G11">
        <v>11</v>
      </c>
      <c r="H11">
        <v>5391087</v>
      </c>
      <c r="I11">
        <v>50.27</v>
      </c>
      <c r="J11">
        <v>66</v>
      </c>
      <c r="K11">
        <v>131</v>
      </c>
      <c r="L11">
        <v>5149</v>
      </c>
      <c r="M11">
        <v>187625</v>
      </c>
      <c r="N11">
        <v>0</v>
      </c>
      <c r="O11">
        <v>0</v>
      </c>
      <c r="P11">
        <v>1</v>
      </c>
      <c r="Q11">
        <v>1</v>
      </c>
      <c r="R11" t="s">
        <v>32</v>
      </c>
      <c r="S11" t="s">
        <v>32</v>
      </c>
      <c r="T11" t="s">
        <v>33</v>
      </c>
      <c r="U11" t="s">
        <v>34</v>
      </c>
      <c r="V11" t="s">
        <v>35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f t="shared" si="0"/>
        <v>1</v>
      </c>
    </row>
    <row r="12" spans="1:31" x14ac:dyDescent="0.3">
      <c r="A12" t="s">
        <v>48</v>
      </c>
      <c r="B12" s="2">
        <v>2008</v>
      </c>
      <c r="C12" s="2" t="s">
        <v>29</v>
      </c>
      <c r="D12" s="2" t="s">
        <v>30</v>
      </c>
      <c r="E12" s="1" t="s">
        <v>31</v>
      </c>
      <c r="F12" t="s">
        <v>39</v>
      </c>
      <c r="G12">
        <v>11</v>
      </c>
      <c r="H12">
        <v>5434408</v>
      </c>
      <c r="I12">
        <v>50.17</v>
      </c>
      <c r="J12">
        <v>42</v>
      </c>
      <c r="K12">
        <v>169</v>
      </c>
      <c r="L12">
        <v>5199</v>
      </c>
      <c r="M12">
        <v>163243</v>
      </c>
      <c r="N12">
        <v>1</v>
      </c>
      <c r="O12">
        <v>1</v>
      </c>
      <c r="P12">
        <v>1</v>
      </c>
      <c r="Q12">
        <v>1</v>
      </c>
      <c r="R12" t="s">
        <v>39</v>
      </c>
      <c r="S12" t="s">
        <v>39</v>
      </c>
      <c r="T12" t="s">
        <v>33</v>
      </c>
      <c r="U12" t="s">
        <v>34</v>
      </c>
      <c r="V12" t="s">
        <v>35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2</v>
      </c>
      <c r="AD12">
        <v>4</v>
      </c>
      <c r="AE12">
        <f t="shared" si="0"/>
        <v>2</v>
      </c>
    </row>
    <row r="13" spans="1:31" x14ac:dyDescent="0.3">
      <c r="A13" t="s">
        <v>49</v>
      </c>
      <c r="B13" s="2">
        <v>2011</v>
      </c>
      <c r="C13" s="2" t="s">
        <v>38</v>
      </c>
      <c r="D13" s="2" t="s">
        <v>30</v>
      </c>
      <c r="E13" s="1" t="s">
        <v>31</v>
      </c>
      <c r="F13" t="s">
        <v>42</v>
      </c>
      <c r="G13">
        <v>11</v>
      </c>
      <c r="H13">
        <v>5270462</v>
      </c>
      <c r="I13">
        <v>50.23</v>
      </c>
      <c r="J13">
        <v>178</v>
      </c>
      <c r="K13">
        <v>215</v>
      </c>
      <c r="L13">
        <v>4970</v>
      </c>
      <c r="M13">
        <v>113841</v>
      </c>
      <c r="N13">
        <v>0</v>
      </c>
      <c r="O13">
        <v>0</v>
      </c>
      <c r="P13">
        <v>1</v>
      </c>
      <c r="Q13">
        <v>1</v>
      </c>
      <c r="R13" t="s">
        <v>42</v>
      </c>
      <c r="S13" t="s">
        <v>42</v>
      </c>
      <c r="T13" t="s">
        <v>33</v>
      </c>
      <c r="U13" t="s">
        <v>34</v>
      </c>
      <c r="V13" t="s">
        <v>35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3</v>
      </c>
      <c r="AD13">
        <v>8</v>
      </c>
      <c r="AE13">
        <f t="shared" si="0"/>
        <v>3</v>
      </c>
    </row>
    <row r="14" spans="1:31" x14ac:dyDescent="0.3">
      <c r="A14" t="s">
        <v>50</v>
      </c>
      <c r="B14" s="4">
        <v>2010</v>
      </c>
      <c r="C14" s="4" t="s">
        <v>29</v>
      </c>
      <c r="D14" s="9" t="s">
        <v>30</v>
      </c>
      <c r="E14" s="1" t="s">
        <v>31</v>
      </c>
      <c r="F14" t="s">
        <v>51</v>
      </c>
      <c r="G14">
        <v>11</v>
      </c>
      <c r="H14">
        <v>5423318</v>
      </c>
      <c r="I14">
        <v>50.25</v>
      </c>
      <c r="J14">
        <v>112</v>
      </c>
      <c r="K14">
        <v>158</v>
      </c>
      <c r="L14">
        <v>5201</v>
      </c>
      <c r="M14">
        <v>183735</v>
      </c>
      <c r="N14">
        <v>0</v>
      </c>
      <c r="O14">
        <v>0</v>
      </c>
      <c r="P14">
        <v>1</v>
      </c>
      <c r="Q14">
        <v>1</v>
      </c>
      <c r="R14" t="s">
        <v>51</v>
      </c>
      <c r="S14" t="s">
        <v>51</v>
      </c>
      <c r="T14" t="s">
        <v>33</v>
      </c>
      <c r="U14" t="s">
        <v>34</v>
      </c>
      <c r="V14" t="s">
        <v>35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f t="shared" si="0"/>
        <v>1</v>
      </c>
    </row>
    <row r="15" spans="1:31" x14ac:dyDescent="0.3">
      <c r="A15" t="s">
        <v>52</v>
      </c>
      <c r="B15" s="4">
        <v>2010</v>
      </c>
      <c r="C15" s="4" t="s">
        <v>29</v>
      </c>
      <c r="D15" s="9" t="s">
        <v>30</v>
      </c>
      <c r="E15" s="1" t="s">
        <v>31</v>
      </c>
      <c r="F15" t="s">
        <v>53</v>
      </c>
      <c r="G15">
        <v>11</v>
      </c>
      <c r="H15">
        <v>5354771</v>
      </c>
      <c r="I15">
        <v>50.25</v>
      </c>
      <c r="J15">
        <v>90</v>
      </c>
      <c r="K15">
        <v>135</v>
      </c>
      <c r="L15">
        <v>5093</v>
      </c>
      <c r="M15">
        <v>188530</v>
      </c>
      <c r="N15">
        <v>0</v>
      </c>
      <c r="O15">
        <v>0</v>
      </c>
      <c r="P15">
        <v>1</v>
      </c>
      <c r="Q15">
        <v>1</v>
      </c>
      <c r="R15" t="s">
        <v>53</v>
      </c>
      <c r="S15" t="s">
        <v>53</v>
      </c>
      <c r="T15" t="s">
        <v>33</v>
      </c>
      <c r="U15" t="s">
        <v>34</v>
      </c>
      <c r="V15" t="s">
        <v>35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3</v>
      </c>
      <c r="AD15">
        <v>9</v>
      </c>
      <c r="AE15">
        <f t="shared" si="0"/>
        <v>3</v>
      </c>
    </row>
    <row r="16" spans="1:31" x14ac:dyDescent="0.3">
      <c r="A16" t="s">
        <v>54</v>
      </c>
      <c r="B16" s="2">
        <v>2010</v>
      </c>
      <c r="C16" s="2" t="s">
        <v>29</v>
      </c>
      <c r="D16" s="2" t="s">
        <v>30</v>
      </c>
      <c r="E16" s="1" t="s">
        <v>31</v>
      </c>
      <c r="F16" t="s">
        <v>32</v>
      </c>
      <c r="G16">
        <v>11</v>
      </c>
      <c r="H16">
        <v>5314372</v>
      </c>
      <c r="I16">
        <v>50.17</v>
      </c>
      <c r="J16">
        <v>190</v>
      </c>
      <c r="K16">
        <v>201</v>
      </c>
      <c r="L16">
        <v>5034</v>
      </c>
      <c r="M16">
        <v>111036</v>
      </c>
      <c r="N16">
        <v>0</v>
      </c>
      <c r="O16">
        <v>0</v>
      </c>
      <c r="P16">
        <v>1</v>
      </c>
      <c r="Q16">
        <v>1</v>
      </c>
      <c r="R16" t="s">
        <v>32</v>
      </c>
      <c r="S16" t="s">
        <v>32</v>
      </c>
      <c r="T16" t="s">
        <v>33</v>
      </c>
      <c r="U16" t="s">
        <v>34</v>
      </c>
      <c r="V16" t="s">
        <v>35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1</v>
      </c>
      <c r="AE16">
        <f t="shared" si="0"/>
        <v>1</v>
      </c>
    </row>
    <row r="17" spans="1:31" x14ac:dyDescent="0.3">
      <c r="A17" t="s">
        <v>55</v>
      </c>
      <c r="B17" s="5">
        <v>2006</v>
      </c>
      <c r="C17" s="5" t="s">
        <v>29</v>
      </c>
      <c r="D17" s="2" t="s">
        <v>56</v>
      </c>
      <c r="E17" s="1" t="s">
        <v>31</v>
      </c>
      <c r="F17" t="s">
        <v>32</v>
      </c>
      <c r="G17">
        <v>11</v>
      </c>
      <c r="H17">
        <v>5498434</v>
      </c>
      <c r="I17">
        <v>50.23</v>
      </c>
      <c r="J17">
        <v>146</v>
      </c>
      <c r="K17">
        <v>156</v>
      </c>
      <c r="L17">
        <v>5279</v>
      </c>
      <c r="M17">
        <v>163261</v>
      </c>
      <c r="N17">
        <v>0</v>
      </c>
      <c r="O17">
        <v>0</v>
      </c>
      <c r="P17">
        <v>1</v>
      </c>
      <c r="Q17">
        <v>1</v>
      </c>
      <c r="R17" t="s">
        <v>32</v>
      </c>
      <c r="S17" t="s">
        <v>32</v>
      </c>
      <c r="T17" t="s">
        <v>33</v>
      </c>
      <c r="U17" t="s">
        <v>34</v>
      </c>
      <c r="V17" t="s">
        <v>35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1</v>
      </c>
      <c r="AE17">
        <f t="shared" si="0"/>
        <v>1</v>
      </c>
    </row>
    <row r="18" spans="1:31" x14ac:dyDescent="0.3">
      <c r="A18" t="s">
        <v>57</v>
      </c>
      <c r="B18" s="2">
        <v>2005</v>
      </c>
      <c r="C18" s="2" t="s">
        <v>38</v>
      </c>
      <c r="D18" s="2" t="s">
        <v>56</v>
      </c>
      <c r="E18" s="1" t="s">
        <v>31</v>
      </c>
      <c r="F18" t="s">
        <v>58</v>
      </c>
      <c r="G18">
        <v>11</v>
      </c>
      <c r="H18">
        <v>5152554</v>
      </c>
      <c r="I18">
        <v>50.27</v>
      </c>
      <c r="J18">
        <v>189</v>
      </c>
      <c r="K18">
        <v>167</v>
      </c>
      <c r="L18">
        <v>4839</v>
      </c>
      <c r="M18">
        <v>127309</v>
      </c>
      <c r="N18">
        <v>1</v>
      </c>
      <c r="O18">
        <v>1</v>
      </c>
      <c r="P18">
        <v>0</v>
      </c>
      <c r="Q18">
        <v>0</v>
      </c>
      <c r="R18" s="11" t="s">
        <v>58</v>
      </c>
      <c r="S18" s="11" t="s">
        <v>59</v>
      </c>
      <c r="T18" t="s">
        <v>33</v>
      </c>
      <c r="U18" t="s">
        <v>34</v>
      </c>
      <c r="V18" t="s">
        <v>35</v>
      </c>
      <c r="W18">
        <v>1</v>
      </c>
      <c r="X18">
        <v>1</v>
      </c>
      <c r="Y18">
        <v>1</v>
      </c>
      <c r="Z18">
        <v>1</v>
      </c>
      <c r="AA18">
        <v>0</v>
      </c>
      <c r="AB18">
        <v>0</v>
      </c>
      <c r="AC18">
        <v>2</v>
      </c>
      <c r="AD18">
        <v>4</v>
      </c>
      <c r="AE18">
        <f t="shared" si="0"/>
        <v>2</v>
      </c>
    </row>
    <row r="19" spans="1:31" x14ac:dyDescent="0.3">
      <c r="A19" t="s">
        <v>60</v>
      </c>
      <c r="B19" s="2">
        <v>2006</v>
      </c>
      <c r="C19" s="2" t="s">
        <v>29</v>
      </c>
      <c r="D19" s="2" t="s">
        <v>56</v>
      </c>
      <c r="E19" s="1" t="s">
        <v>31</v>
      </c>
      <c r="F19" t="s">
        <v>61</v>
      </c>
      <c r="G19">
        <v>11</v>
      </c>
      <c r="H19">
        <v>5279980</v>
      </c>
      <c r="I19">
        <v>50.24</v>
      </c>
      <c r="J19">
        <v>185</v>
      </c>
      <c r="K19">
        <v>221</v>
      </c>
      <c r="L19">
        <v>4983</v>
      </c>
      <c r="M19">
        <v>121669</v>
      </c>
      <c r="N19">
        <v>0</v>
      </c>
      <c r="O19">
        <v>0</v>
      </c>
      <c r="P19">
        <v>1</v>
      </c>
      <c r="Q19">
        <v>1</v>
      </c>
      <c r="R19" t="s">
        <v>61</v>
      </c>
      <c r="S19" t="s">
        <v>61</v>
      </c>
      <c r="T19" t="s">
        <v>33</v>
      </c>
      <c r="U19" t="s">
        <v>34</v>
      </c>
      <c r="V19" t="s">
        <v>35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3</v>
      </c>
      <c r="AD19">
        <v>9</v>
      </c>
      <c r="AE19">
        <f t="shared" si="0"/>
        <v>3</v>
      </c>
    </row>
    <row r="20" spans="1:31" x14ac:dyDescent="0.3">
      <c r="A20" t="s">
        <v>62</v>
      </c>
      <c r="B20" s="2">
        <v>2007</v>
      </c>
      <c r="C20" s="2" t="s">
        <v>29</v>
      </c>
      <c r="D20" s="2" t="s">
        <v>56</v>
      </c>
      <c r="E20" s="1" t="s">
        <v>31</v>
      </c>
      <c r="F20" t="s">
        <v>39</v>
      </c>
      <c r="G20">
        <v>11</v>
      </c>
      <c r="H20">
        <v>5239549</v>
      </c>
      <c r="I20">
        <v>50.28</v>
      </c>
      <c r="J20">
        <v>187</v>
      </c>
      <c r="K20">
        <v>170</v>
      </c>
      <c r="L20">
        <v>4944</v>
      </c>
      <c r="M20">
        <v>127310</v>
      </c>
      <c r="N20">
        <v>1</v>
      </c>
      <c r="O20">
        <v>1</v>
      </c>
      <c r="P20">
        <v>1</v>
      </c>
      <c r="Q20">
        <v>1</v>
      </c>
      <c r="R20" t="s">
        <v>39</v>
      </c>
      <c r="S20" t="s">
        <v>39</v>
      </c>
      <c r="T20" t="s">
        <v>33</v>
      </c>
      <c r="U20" t="s">
        <v>34</v>
      </c>
      <c r="V20" t="s">
        <v>35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2</v>
      </c>
      <c r="AD20">
        <v>4</v>
      </c>
      <c r="AE20">
        <f t="shared" si="0"/>
        <v>2</v>
      </c>
    </row>
    <row r="21" spans="1:31" x14ac:dyDescent="0.3">
      <c r="A21" t="s">
        <v>63</v>
      </c>
      <c r="B21" s="5">
        <v>2008</v>
      </c>
      <c r="C21" s="5" t="s">
        <v>38</v>
      </c>
      <c r="D21" s="2" t="s">
        <v>56</v>
      </c>
      <c r="E21" s="1" t="s">
        <v>31</v>
      </c>
      <c r="F21" t="s">
        <v>64</v>
      </c>
      <c r="G21">
        <v>11</v>
      </c>
      <c r="H21">
        <v>5267048</v>
      </c>
      <c r="I21">
        <v>50.28</v>
      </c>
      <c r="J21">
        <v>185</v>
      </c>
      <c r="K21">
        <v>197</v>
      </c>
      <c r="L21">
        <v>4963</v>
      </c>
      <c r="M21">
        <v>102807</v>
      </c>
      <c r="N21">
        <v>0</v>
      </c>
      <c r="O21">
        <v>0</v>
      </c>
      <c r="P21">
        <v>1</v>
      </c>
      <c r="Q21">
        <v>1</v>
      </c>
      <c r="R21" t="s">
        <v>64</v>
      </c>
      <c r="S21" t="s">
        <v>64</v>
      </c>
      <c r="T21" t="s">
        <v>33</v>
      </c>
      <c r="U21" t="s">
        <v>34</v>
      </c>
      <c r="V21" t="s">
        <v>35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2</v>
      </c>
      <c r="AD21">
        <v>6</v>
      </c>
      <c r="AE21">
        <f t="shared" si="0"/>
        <v>2</v>
      </c>
    </row>
    <row r="22" spans="1:31" x14ac:dyDescent="0.3">
      <c r="A22" t="s">
        <v>65</v>
      </c>
      <c r="B22" s="2">
        <v>2010</v>
      </c>
      <c r="C22" s="2" t="s">
        <v>38</v>
      </c>
      <c r="D22" s="2" t="s">
        <v>56</v>
      </c>
      <c r="E22" s="1" t="s">
        <v>31</v>
      </c>
      <c r="F22" t="s">
        <v>42</v>
      </c>
      <c r="G22">
        <v>11</v>
      </c>
      <c r="H22">
        <v>5270315</v>
      </c>
      <c r="I22">
        <v>50.22</v>
      </c>
      <c r="J22">
        <v>185</v>
      </c>
      <c r="K22">
        <v>215</v>
      </c>
      <c r="L22">
        <v>4956</v>
      </c>
      <c r="M22">
        <v>116339</v>
      </c>
      <c r="N22">
        <v>0</v>
      </c>
      <c r="O22">
        <v>0</v>
      </c>
      <c r="P22">
        <v>1</v>
      </c>
      <c r="Q22">
        <v>1</v>
      </c>
      <c r="R22" t="s">
        <v>42</v>
      </c>
      <c r="S22" t="s">
        <v>42</v>
      </c>
      <c r="T22" t="s">
        <v>33</v>
      </c>
      <c r="U22" t="s">
        <v>34</v>
      </c>
      <c r="V22" t="s">
        <v>35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3</v>
      </c>
      <c r="AD22">
        <v>7</v>
      </c>
      <c r="AE22">
        <f t="shared" si="0"/>
        <v>3</v>
      </c>
    </row>
    <row r="23" spans="1:31" x14ac:dyDescent="0.3">
      <c r="A23" t="s">
        <v>66</v>
      </c>
      <c r="B23" s="6">
        <v>2004</v>
      </c>
      <c r="C23" s="6"/>
      <c r="D23" s="6" t="s">
        <v>56</v>
      </c>
      <c r="E23" s="1" t="s">
        <v>31</v>
      </c>
      <c r="F23" t="s">
        <v>39</v>
      </c>
      <c r="G23">
        <v>11</v>
      </c>
      <c r="H23">
        <v>5415433</v>
      </c>
      <c r="I23">
        <v>50.26</v>
      </c>
      <c r="J23">
        <v>79</v>
      </c>
      <c r="K23">
        <v>163</v>
      </c>
      <c r="L23">
        <v>5170</v>
      </c>
      <c r="M23">
        <v>160335</v>
      </c>
      <c r="N23">
        <v>1</v>
      </c>
      <c r="O23">
        <v>1</v>
      </c>
      <c r="P23">
        <v>1</v>
      </c>
      <c r="Q23">
        <v>1</v>
      </c>
      <c r="R23" s="10" t="s">
        <v>39</v>
      </c>
      <c r="S23" s="10" t="s">
        <v>67</v>
      </c>
      <c r="T23" t="s">
        <v>33</v>
      </c>
      <c r="U23" t="s">
        <v>34</v>
      </c>
      <c r="V23" t="s">
        <v>35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2</v>
      </c>
      <c r="AD23">
        <v>4</v>
      </c>
      <c r="AE23">
        <f t="shared" si="0"/>
        <v>2</v>
      </c>
    </row>
    <row r="24" spans="1:31" x14ac:dyDescent="0.3">
      <c r="A24" t="s">
        <v>68</v>
      </c>
      <c r="B24" s="6">
        <v>2004</v>
      </c>
      <c r="C24" s="3" t="s">
        <v>29</v>
      </c>
      <c r="D24" s="9" t="s">
        <v>30</v>
      </c>
      <c r="E24" s="1" t="s">
        <v>31</v>
      </c>
      <c r="F24" t="s">
        <v>39</v>
      </c>
      <c r="G24">
        <v>11</v>
      </c>
      <c r="H24">
        <v>5341757</v>
      </c>
      <c r="I24">
        <v>50.27</v>
      </c>
      <c r="J24">
        <v>78</v>
      </c>
      <c r="K24">
        <v>142</v>
      </c>
      <c r="L24">
        <v>5072</v>
      </c>
      <c r="M24">
        <v>160335</v>
      </c>
      <c r="N24">
        <v>1</v>
      </c>
      <c r="O24">
        <v>1</v>
      </c>
      <c r="P24">
        <v>1</v>
      </c>
      <c r="Q24">
        <v>1</v>
      </c>
      <c r="R24" t="s">
        <v>39</v>
      </c>
      <c r="S24" t="s">
        <v>39</v>
      </c>
      <c r="T24" t="s">
        <v>33</v>
      </c>
      <c r="U24" t="s">
        <v>34</v>
      </c>
      <c r="V24" t="s">
        <v>35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2</v>
      </c>
      <c r="AD24">
        <v>4</v>
      </c>
      <c r="AE24">
        <f t="shared" si="0"/>
        <v>2</v>
      </c>
    </row>
    <row r="25" spans="1:31" x14ac:dyDescent="0.3">
      <c r="A25" t="s">
        <v>69</v>
      </c>
      <c r="B25" s="6">
        <v>2004</v>
      </c>
      <c r="C25" s="3" t="s">
        <v>29</v>
      </c>
      <c r="D25" s="9" t="s">
        <v>30</v>
      </c>
      <c r="E25" s="1" t="s">
        <v>31</v>
      </c>
      <c r="F25" t="s">
        <v>32</v>
      </c>
      <c r="G25">
        <v>11</v>
      </c>
      <c r="H25">
        <v>5430601</v>
      </c>
      <c r="I25">
        <v>50.26</v>
      </c>
      <c r="J25">
        <v>114</v>
      </c>
      <c r="K25">
        <v>145</v>
      </c>
      <c r="L25">
        <v>5198</v>
      </c>
      <c r="M25">
        <v>180339</v>
      </c>
      <c r="N25">
        <v>0</v>
      </c>
      <c r="O25">
        <v>0</v>
      </c>
      <c r="P25">
        <v>1</v>
      </c>
      <c r="Q25">
        <v>1</v>
      </c>
      <c r="R25" t="s">
        <v>32</v>
      </c>
      <c r="S25" t="s">
        <v>32</v>
      </c>
      <c r="T25" t="s">
        <v>33</v>
      </c>
      <c r="U25" t="s">
        <v>34</v>
      </c>
      <c r="V25" t="s">
        <v>35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f t="shared" si="0"/>
        <v>1</v>
      </c>
    </row>
    <row r="26" spans="1:31" x14ac:dyDescent="0.3">
      <c r="A26" t="s">
        <v>70</v>
      </c>
      <c r="B26" s="6">
        <v>2004</v>
      </c>
      <c r="C26" s="3" t="s">
        <v>29</v>
      </c>
      <c r="D26" s="9" t="s">
        <v>30</v>
      </c>
      <c r="E26" s="1" t="s">
        <v>31</v>
      </c>
      <c r="F26" t="s">
        <v>51</v>
      </c>
      <c r="G26">
        <v>11</v>
      </c>
      <c r="H26">
        <v>5511020</v>
      </c>
      <c r="I26">
        <v>50.23</v>
      </c>
      <c r="J26">
        <v>94</v>
      </c>
      <c r="K26">
        <v>165</v>
      </c>
      <c r="L26">
        <v>5316</v>
      </c>
      <c r="M26">
        <v>157300</v>
      </c>
      <c r="N26">
        <v>0</v>
      </c>
      <c r="O26">
        <v>0</v>
      </c>
      <c r="P26">
        <v>1</v>
      </c>
      <c r="Q26">
        <v>1</v>
      </c>
      <c r="R26" t="s">
        <v>51</v>
      </c>
      <c r="S26" t="s">
        <v>51</v>
      </c>
      <c r="T26" t="s">
        <v>33</v>
      </c>
      <c r="U26" t="s">
        <v>34</v>
      </c>
      <c r="V26" t="s">
        <v>35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E26">
        <f t="shared" si="0"/>
        <v>1</v>
      </c>
    </row>
    <row r="27" spans="1:31" x14ac:dyDescent="0.3">
      <c r="A27" t="s">
        <v>71</v>
      </c>
      <c r="B27" s="6">
        <v>2004</v>
      </c>
      <c r="C27" s="3" t="s">
        <v>38</v>
      </c>
      <c r="D27" s="9" t="s">
        <v>30</v>
      </c>
      <c r="E27" s="1" t="s">
        <v>31</v>
      </c>
      <c r="F27" t="s">
        <v>32</v>
      </c>
      <c r="G27">
        <v>11</v>
      </c>
      <c r="H27">
        <v>5407642</v>
      </c>
      <c r="I27">
        <v>50.24</v>
      </c>
      <c r="J27">
        <v>62</v>
      </c>
      <c r="K27">
        <v>177</v>
      </c>
      <c r="L27">
        <v>5174</v>
      </c>
      <c r="M27">
        <v>179839</v>
      </c>
      <c r="N27">
        <v>0</v>
      </c>
      <c r="O27">
        <v>0</v>
      </c>
      <c r="P27">
        <v>1</v>
      </c>
      <c r="Q27">
        <v>1</v>
      </c>
      <c r="R27" t="s">
        <v>32</v>
      </c>
      <c r="S27" t="s">
        <v>32</v>
      </c>
      <c r="T27" t="s">
        <v>33</v>
      </c>
      <c r="U27" t="s">
        <v>34</v>
      </c>
      <c r="V27" t="s">
        <v>35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1</v>
      </c>
      <c r="AE27">
        <f t="shared" si="0"/>
        <v>1</v>
      </c>
    </row>
    <row r="28" spans="1:31" x14ac:dyDescent="0.3">
      <c r="A28" t="s">
        <v>72</v>
      </c>
      <c r="B28" s="6">
        <v>2004</v>
      </c>
      <c r="C28" s="3" t="s">
        <v>38</v>
      </c>
      <c r="D28" s="9" t="s">
        <v>30</v>
      </c>
      <c r="E28" s="1" t="s">
        <v>31</v>
      </c>
      <c r="F28" t="s">
        <v>39</v>
      </c>
      <c r="G28">
        <v>11</v>
      </c>
      <c r="H28">
        <v>5371574</v>
      </c>
      <c r="I28">
        <v>50.21</v>
      </c>
      <c r="J28">
        <v>126</v>
      </c>
      <c r="K28">
        <v>136</v>
      </c>
      <c r="L28">
        <v>5120</v>
      </c>
      <c r="M28">
        <v>152178</v>
      </c>
      <c r="N28">
        <v>1</v>
      </c>
      <c r="O28">
        <v>1</v>
      </c>
      <c r="P28">
        <v>1</v>
      </c>
      <c r="Q28">
        <v>1</v>
      </c>
      <c r="R28" s="10" t="s">
        <v>39</v>
      </c>
      <c r="S28" s="10" t="s">
        <v>67</v>
      </c>
      <c r="T28" t="s">
        <v>33</v>
      </c>
      <c r="U28" t="s">
        <v>34</v>
      </c>
      <c r="V28" t="s">
        <v>35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2</v>
      </c>
      <c r="AD28">
        <v>4</v>
      </c>
      <c r="AE28">
        <f t="shared" si="0"/>
        <v>2</v>
      </c>
    </row>
    <row r="29" spans="1:31" x14ac:dyDescent="0.3">
      <c r="A29" t="s">
        <v>73</v>
      </c>
      <c r="B29" s="6">
        <v>2004</v>
      </c>
      <c r="C29" s="3" t="s">
        <v>38</v>
      </c>
      <c r="D29" s="9" t="s">
        <v>30</v>
      </c>
      <c r="E29" s="1" t="s">
        <v>31</v>
      </c>
      <c r="F29" t="s">
        <v>39</v>
      </c>
      <c r="G29">
        <v>11</v>
      </c>
      <c r="H29">
        <v>5385649</v>
      </c>
      <c r="I29">
        <v>50.23</v>
      </c>
      <c r="J29">
        <v>116</v>
      </c>
      <c r="K29">
        <v>142</v>
      </c>
      <c r="L29">
        <v>5154</v>
      </c>
      <c r="M29">
        <v>152178</v>
      </c>
      <c r="N29">
        <v>1</v>
      </c>
      <c r="O29">
        <v>1</v>
      </c>
      <c r="P29">
        <v>1</v>
      </c>
      <c r="Q29">
        <v>1</v>
      </c>
      <c r="R29" t="s">
        <v>39</v>
      </c>
      <c r="S29" t="s">
        <v>39</v>
      </c>
      <c r="T29" t="s">
        <v>33</v>
      </c>
      <c r="U29" t="s">
        <v>34</v>
      </c>
      <c r="V29" t="s">
        <v>35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2</v>
      </c>
      <c r="AD29">
        <v>4</v>
      </c>
      <c r="AE29">
        <f t="shared" si="0"/>
        <v>2</v>
      </c>
    </row>
    <row r="30" spans="1:31" x14ac:dyDescent="0.3">
      <c r="A30" t="s">
        <v>74</v>
      </c>
      <c r="B30" s="5">
        <v>2004</v>
      </c>
      <c r="C30" s="5" t="s">
        <v>29</v>
      </c>
      <c r="D30" s="2" t="s">
        <v>56</v>
      </c>
      <c r="E30" s="1" t="s">
        <v>31</v>
      </c>
      <c r="F30" t="s">
        <v>39</v>
      </c>
      <c r="G30">
        <v>11</v>
      </c>
      <c r="H30">
        <v>5404527</v>
      </c>
      <c r="I30">
        <v>50.19</v>
      </c>
      <c r="J30">
        <v>154</v>
      </c>
      <c r="K30">
        <v>145</v>
      </c>
      <c r="L30">
        <v>5161</v>
      </c>
      <c r="M30">
        <v>149646</v>
      </c>
      <c r="N30">
        <v>1</v>
      </c>
      <c r="O30">
        <v>1</v>
      </c>
      <c r="P30">
        <v>1</v>
      </c>
      <c r="Q30">
        <v>1</v>
      </c>
      <c r="R30" s="10" t="s">
        <v>39</v>
      </c>
      <c r="S30" s="10" t="s">
        <v>67</v>
      </c>
      <c r="T30" t="s">
        <v>33</v>
      </c>
      <c r="U30" t="s">
        <v>34</v>
      </c>
      <c r="V30" t="s">
        <v>35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2</v>
      </c>
      <c r="AD30">
        <v>4</v>
      </c>
      <c r="AE30">
        <f t="shared" si="0"/>
        <v>2</v>
      </c>
    </row>
    <row r="31" spans="1:31" x14ac:dyDescent="0.3">
      <c r="A31" t="s">
        <v>75</v>
      </c>
      <c r="B31" s="5">
        <v>2004</v>
      </c>
      <c r="C31" s="5" t="s">
        <v>38</v>
      </c>
      <c r="D31" s="2" t="s">
        <v>56</v>
      </c>
      <c r="E31" s="1" t="s">
        <v>31</v>
      </c>
      <c r="F31" t="s">
        <v>32</v>
      </c>
      <c r="G31">
        <v>11</v>
      </c>
      <c r="H31">
        <v>5473034</v>
      </c>
      <c r="I31">
        <v>50.27</v>
      </c>
      <c r="J31">
        <v>139</v>
      </c>
      <c r="K31">
        <v>150</v>
      </c>
      <c r="L31">
        <v>5253</v>
      </c>
      <c r="M31">
        <v>188305</v>
      </c>
      <c r="N31">
        <v>0</v>
      </c>
      <c r="O31">
        <v>0</v>
      </c>
      <c r="P31">
        <v>1</v>
      </c>
      <c r="Q31">
        <v>1</v>
      </c>
      <c r="R31" t="s">
        <v>32</v>
      </c>
      <c r="S31" t="s">
        <v>32</v>
      </c>
      <c r="T31" t="s">
        <v>33</v>
      </c>
      <c r="U31" t="s">
        <v>34</v>
      </c>
      <c r="V31" t="s">
        <v>35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2</v>
      </c>
      <c r="AE31">
        <f t="shared" si="0"/>
        <v>1</v>
      </c>
    </row>
    <row r="32" spans="1:31" x14ac:dyDescent="0.3">
      <c r="A32" t="s">
        <v>76</v>
      </c>
      <c r="B32" s="5">
        <v>2004</v>
      </c>
      <c r="C32" s="5" t="s">
        <v>38</v>
      </c>
      <c r="D32" s="2" t="s">
        <v>56</v>
      </c>
      <c r="E32" s="1" t="s">
        <v>31</v>
      </c>
      <c r="F32" t="s">
        <v>42</v>
      </c>
      <c r="G32">
        <v>11</v>
      </c>
      <c r="H32">
        <v>5508444</v>
      </c>
      <c r="I32">
        <v>50.19</v>
      </c>
      <c r="J32">
        <v>128</v>
      </c>
      <c r="K32">
        <v>165</v>
      </c>
      <c r="L32">
        <v>5268</v>
      </c>
      <c r="M32">
        <v>185198</v>
      </c>
      <c r="N32">
        <v>0</v>
      </c>
      <c r="O32">
        <v>0</v>
      </c>
      <c r="P32">
        <v>1</v>
      </c>
      <c r="Q32">
        <v>1</v>
      </c>
      <c r="R32" t="s">
        <v>42</v>
      </c>
      <c r="S32" t="s">
        <v>42</v>
      </c>
      <c r="T32" t="s">
        <v>33</v>
      </c>
      <c r="U32" t="s">
        <v>34</v>
      </c>
      <c r="V32" t="s">
        <v>35</v>
      </c>
      <c r="W32">
        <v>1</v>
      </c>
      <c r="X32">
        <v>1</v>
      </c>
      <c r="Y32">
        <v>1</v>
      </c>
      <c r="Z32">
        <v>0</v>
      </c>
      <c r="AA32">
        <v>0</v>
      </c>
      <c r="AB32">
        <v>1</v>
      </c>
      <c r="AC32">
        <v>3</v>
      </c>
      <c r="AD32">
        <v>7</v>
      </c>
      <c r="AE32">
        <f t="shared" si="0"/>
        <v>3</v>
      </c>
    </row>
    <row r="33" spans="1:31" x14ac:dyDescent="0.3">
      <c r="A33" t="s">
        <v>77</v>
      </c>
      <c r="B33" s="5">
        <v>2004</v>
      </c>
      <c r="C33" s="5" t="s">
        <v>29</v>
      </c>
      <c r="D33" s="2" t="s">
        <v>56</v>
      </c>
      <c r="E33" s="1" t="s">
        <v>31</v>
      </c>
      <c r="F33" t="s">
        <v>32</v>
      </c>
      <c r="G33">
        <v>11</v>
      </c>
      <c r="H33">
        <v>5372278</v>
      </c>
      <c r="I33">
        <v>50.26</v>
      </c>
      <c r="J33">
        <v>157</v>
      </c>
      <c r="K33">
        <v>134</v>
      </c>
      <c r="L33">
        <v>5129</v>
      </c>
      <c r="M33">
        <v>201721</v>
      </c>
      <c r="N33">
        <v>0</v>
      </c>
      <c r="O33">
        <v>0</v>
      </c>
      <c r="P33">
        <v>1</v>
      </c>
      <c r="Q33">
        <v>1</v>
      </c>
      <c r="R33" t="s">
        <v>32</v>
      </c>
      <c r="S33" t="s">
        <v>32</v>
      </c>
      <c r="T33" t="s">
        <v>33</v>
      </c>
      <c r="U33" t="s">
        <v>34</v>
      </c>
      <c r="V33" t="s">
        <v>35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f t="shared" si="0"/>
        <v>1</v>
      </c>
    </row>
    <row r="34" spans="1:31" x14ac:dyDescent="0.3">
      <c r="A34" t="s">
        <v>78</v>
      </c>
      <c r="B34" s="5">
        <v>2005</v>
      </c>
      <c r="C34" s="5" t="s">
        <v>38</v>
      </c>
      <c r="D34" s="2" t="s">
        <v>56</v>
      </c>
      <c r="E34" s="1" t="s">
        <v>31</v>
      </c>
      <c r="F34" t="s">
        <v>32</v>
      </c>
      <c r="G34">
        <v>11</v>
      </c>
      <c r="H34">
        <v>5448403</v>
      </c>
      <c r="I34">
        <v>50.17</v>
      </c>
      <c r="J34">
        <v>152</v>
      </c>
      <c r="K34">
        <v>154</v>
      </c>
      <c r="L34">
        <v>5236</v>
      </c>
      <c r="M34">
        <v>188305</v>
      </c>
      <c r="N34">
        <v>0</v>
      </c>
      <c r="O34">
        <v>0</v>
      </c>
      <c r="P34">
        <v>1</v>
      </c>
      <c r="Q34">
        <v>1</v>
      </c>
      <c r="R34" t="s">
        <v>32</v>
      </c>
      <c r="S34" t="s">
        <v>32</v>
      </c>
      <c r="T34" t="s">
        <v>33</v>
      </c>
      <c r="U34" t="s">
        <v>34</v>
      </c>
      <c r="V34" t="s">
        <v>35</v>
      </c>
      <c r="W34">
        <v>1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2</v>
      </c>
      <c r="AE34">
        <f t="shared" si="0"/>
        <v>1</v>
      </c>
    </row>
    <row r="35" spans="1:31" x14ac:dyDescent="0.3">
      <c r="A35" t="s">
        <v>79</v>
      </c>
      <c r="B35" s="6">
        <v>2004</v>
      </c>
      <c r="C35" s="6" t="s">
        <v>29</v>
      </c>
      <c r="D35" s="6" t="s">
        <v>56</v>
      </c>
      <c r="E35" s="1" t="s">
        <v>31</v>
      </c>
      <c r="F35" t="s">
        <v>80</v>
      </c>
      <c r="G35">
        <v>11</v>
      </c>
      <c r="H35">
        <v>5322018</v>
      </c>
      <c r="I35">
        <v>50.28</v>
      </c>
      <c r="J35">
        <v>136</v>
      </c>
      <c r="K35">
        <v>144</v>
      </c>
      <c r="L35">
        <v>5068</v>
      </c>
      <c r="M35">
        <v>183972</v>
      </c>
      <c r="N35">
        <v>0</v>
      </c>
      <c r="O35">
        <v>0</v>
      </c>
      <c r="P35">
        <v>0</v>
      </c>
      <c r="Q35">
        <v>0</v>
      </c>
      <c r="R35" s="10" t="s">
        <v>80</v>
      </c>
      <c r="S35" s="10" t="s">
        <v>80</v>
      </c>
      <c r="T35" t="s">
        <v>33</v>
      </c>
      <c r="U35" t="s">
        <v>34</v>
      </c>
      <c r="V35" t="s">
        <v>35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3</v>
      </c>
      <c r="AD35">
        <v>7</v>
      </c>
      <c r="AE35">
        <f t="shared" si="0"/>
        <v>3</v>
      </c>
    </row>
    <row r="36" spans="1:31" x14ac:dyDescent="0.3">
      <c r="A36" t="s">
        <v>81</v>
      </c>
      <c r="B36" s="5">
        <v>2005</v>
      </c>
      <c r="C36" s="5" t="s">
        <v>29</v>
      </c>
      <c r="D36" s="2" t="s">
        <v>56</v>
      </c>
      <c r="E36" s="1" t="s">
        <v>31</v>
      </c>
      <c r="F36" t="s">
        <v>32</v>
      </c>
      <c r="G36">
        <v>11</v>
      </c>
      <c r="H36">
        <v>5352978</v>
      </c>
      <c r="I36">
        <v>50.28</v>
      </c>
      <c r="J36">
        <v>139</v>
      </c>
      <c r="K36">
        <v>145</v>
      </c>
      <c r="L36">
        <v>5110</v>
      </c>
      <c r="M36">
        <v>188197</v>
      </c>
      <c r="N36">
        <v>0</v>
      </c>
      <c r="O36">
        <v>0</v>
      </c>
      <c r="P36">
        <v>1</v>
      </c>
      <c r="Q36">
        <v>1</v>
      </c>
      <c r="R36" t="s">
        <v>32</v>
      </c>
      <c r="S36" t="s">
        <v>32</v>
      </c>
      <c r="T36" t="s">
        <v>33</v>
      </c>
      <c r="U36" t="s">
        <v>34</v>
      </c>
      <c r="V36" t="s">
        <v>35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1</v>
      </c>
      <c r="AE36">
        <f t="shared" si="0"/>
        <v>1</v>
      </c>
    </row>
    <row r="37" spans="1:31" x14ac:dyDescent="0.3">
      <c r="A37" t="s">
        <v>82</v>
      </c>
      <c r="B37" s="6">
        <v>2005</v>
      </c>
      <c r="C37" s="6" t="s">
        <v>29</v>
      </c>
      <c r="D37" s="6" t="s">
        <v>56</v>
      </c>
      <c r="E37" s="1" t="s">
        <v>31</v>
      </c>
      <c r="F37" t="s">
        <v>39</v>
      </c>
      <c r="G37">
        <v>11</v>
      </c>
      <c r="H37">
        <v>5361198</v>
      </c>
      <c r="I37">
        <v>50.29</v>
      </c>
      <c r="J37">
        <v>132</v>
      </c>
      <c r="K37">
        <v>129</v>
      </c>
      <c r="L37">
        <v>5110</v>
      </c>
      <c r="M37">
        <v>160335</v>
      </c>
      <c r="N37">
        <v>1</v>
      </c>
      <c r="O37">
        <v>1</v>
      </c>
      <c r="P37">
        <v>1</v>
      </c>
      <c r="Q37">
        <v>1</v>
      </c>
      <c r="R37" t="s">
        <v>39</v>
      </c>
      <c r="S37" t="s">
        <v>39</v>
      </c>
      <c r="T37" t="s">
        <v>33</v>
      </c>
      <c r="U37" t="s">
        <v>34</v>
      </c>
      <c r="V37" t="s">
        <v>35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2</v>
      </c>
      <c r="AD37">
        <v>4</v>
      </c>
      <c r="AE37">
        <f t="shared" si="0"/>
        <v>2</v>
      </c>
    </row>
    <row r="38" spans="1:31" x14ac:dyDescent="0.3">
      <c r="A38" t="s">
        <v>83</v>
      </c>
      <c r="B38" s="7">
        <v>2005</v>
      </c>
      <c r="C38" s="7" t="s">
        <v>38</v>
      </c>
      <c r="D38" s="7" t="s">
        <v>56</v>
      </c>
      <c r="E38" s="1" t="s">
        <v>31</v>
      </c>
      <c r="F38" t="s">
        <v>84</v>
      </c>
      <c r="G38">
        <v>11</v>
      </c>
      <c r="H38">
        <v>5388250</v>
      </c>
      <c r="I38">
        <v>50.25</v>
      </c>
      <c r="J38">
        <v>99</v>
      </c>
      <c r="K38">
        <v>146</v>
      </c>
      <c r="L38">
        <v>5138</v>
      </c>
      <c r="M38">
        <v>188329</v>
      </c>
      <c r="N38">
        <v>0</v>
      </c>
      <c r="O38">
        <v>0</v>
      </c>
      <c r="P38">
        <v>1</v>
      </c>
      <c r="Q38">
        <v>1</v>
      </c>
      <c r="R38" t="s">
        <v>84</v>
      </c>
      <c r="S38" t="s">
        <v>84</v>
      </c>
      <c r="T38" t="s">
        <v>33</v>
      </c>
      <c r="U38" t="s">
        <v>34</v>
      </c>
      <c r="V38" t="s">
        <v>35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3</v>
      </c>
      <c r="AD38">
        <v>7</v>
      </c>
      <c r="AE38">
        <f t="shared" si="0"/>
        <v>3</v>
      </c>
    </row>
    <row r="39" spans="1:31" x14ac:dyDescent="0.3">
      <c r="A39" t="s">
        <v>85</v>
      </c>
      <c r="B39" s="5">
        <v>2005</v>
      </c>
      <c r="C39" s="5" t="s">
        <v>29</v>
      </c>
      <c r="D39" s="2" t="s">
        <v>56</v>
      </c>
      <c r="E39" s="1" t="s">
        <v>31</v>
      </c>
      <c r="F39" t="s">
        <v>42</v>
      </c>
      <c r="G39">
        <v>11</v>
      </c>
      <c r="H39">
        <v>5478634</v>
      </c>
      <c r="I39">
        <v>50.24</v>
      </c>
      <c r="J39">
        <v>156</v>
      </c>
      <c r="K39">
        <v>164</v>
      </c>
      <c r="L39">
        <v>5222</v>
      </c>
      <c r="M39">
        <v>188530</v>
      </c>
      <c r="N39">
        <v>0</v>
      </c>
      <c r="O39">
        <v>0</v>
      </c>
      <c r="P39">
        <v>1</v>
      </c>
      <c r="Q39">
        <v>1</v>
      </c>
      <c r="R39" t="s">
        <v>42</v>
      </c>
      <c r="S39" t="s">
        <v>42</v>
      </c>
      <c r="T39" t="s">
        <v>33</v>
      </c>
      <c r="U39" t="s">
        <v>34</v>
      </c>
      <c r="V39" t="s">
        <v>35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3</v>
      </c>
      <c r="AD39">
        <v>9</v>
      </c>
      <c r="AE39">
        <f t="shared" si="0"/>
        <v>3</v>
      </c>
    </row>
    <row r="40" spans="1:31" x14ac:dyDescent="0.3">
      <c r="A40" t="s">
        <v>86</v>
      </c>
      <c r="B40" s="6">
        <v>2005</v>
      </c>
      <c r="C40" s="3" t="s">
        <v>29</v>
      </c>
      <c r="D40" s="9" t="s">
        <v>30</v>
      </c>
      <c r="E40" s="1" t="s">
        <v>31</v>
      </c>
      <c r="F40" t="s">
        <v>39</v>
      </c>
      <c r="G40">
        <v>11</v>
      </c>
      <c r="H40">
        <v>5282599</v>
      </c>
      <c r="I40">
        <v>50.3</v>
      </c>
      <c r="J40">
        <v>92</v>
      </c>
      <c r="K40">
        <v>134</v>
      </c>
      <c r="L40">
        <v>4998</v>
      </c>
      <c r="M40">
        <v>160335</v>
      </c>
      <c r="N40">
        <v>1</v>
      </c>
      <c r="O40">
        <v>1</v>
      </c>
      <c r="P40">
        <v>1</v>
      </c>
      <c r="Q40">
        <v>1</v>
      </c>
      <c r="R40" t="s">
        <v>39</v>
      </c>
      <c r="S40" t="s">
        <v>39</v>
      </c>
      <c r="T40" t="s">
        <v>33</v>
      </c>
      <c r="U40" t="s">
        <v>34</v>
      </c>
      <c r="V40" t="s">
        <v>35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2</v>
      </c>
      <c r="AD40">
        <v>4</v>
      </c>
      <c r="AE40">
        <f t="shared" si="0"/>
        <v>2</v>
      </c>
    </row>
    <row r="41" spans="1:31" x14ac:dyDescent="0.3">
      <c r="A41" t="s">
        <v>87</v>
      </c>
      <c r="B41" s="6">
        <v>2005</v>
      </c>
      <c r="C41" s="3" t="s">
        <v>38</v>
      </c>
      <c r="D41" s="9" t="s">
        <v>30</v>
      </c>
      <c r="E41" s="1" t="s">
        <v>31</v>
      </c>
      <c r="F41" t="s">
        <v>32</v>
      </c>
      <c r="G41">
        <v>11</v>
      </c>
      <c r="H41">
        <v>5411507</v>
      </c>
      <c r="I41">
        <v>50.26</v>
      </c>
      <c r="J41">
        <v>107</v>
      </c>
      <c r="K41">
        <v>145</v>
      </c>
      <c r="L41">
        <v>5179</v>
      </c>
      <c r="M41">
        <v>201721</v>
      </c>
      <c r="N41">
        <v>0</v>
      </c>
      <c r="O41">
        <v>0</v>
      </c>
      <c r="P41">
        <v>1</v>
      </c>
      <c r="Q41">
        <v>1</v>
      </c>
      <c r="R41" s="10" t="s">
        <v>32</v>
      </c>
      <c r="S41" s="10" t="s">
        <v>88</v>
      </c>
      <c r="T41" t="s">
        <v>33</v>
      </c>
      <c r="U41" t="s">
        <v>34</v>
      </c>
      <c r="V41" t="s">
        <v>35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2</v>
      </c>
      <c r="AE41">
        <f t="shared" si="0"/>
        <v>1</v>
      </c>
    </row>
    <row r="42" spans="1:31" x14ac:dyDescent="0.3">
      <c r="A42" t="s">
        <v>89</v>
      </c>
      <c r="B42" s="6">
        <v>2005</v>
      </c>
      <c r="C42" s="3" t="s">
        <v>29</v>
      </c>
      <c r="D42" s="9" t="s">
        <v>30</v>
      </c>
      <c r="E42" s="1" t="s">
        <v>31</v>
      </c>
      <c r="F42" t="s">
        <v>32</v>
      </c>
      <c r="G42">
        <v>11</v>
      </c>
      <c r="H42">
        <v>5419596</v>
      </c>
      <c r="I42">
        <v>50.2</v>
      </c>
      <c r="J42">
        <v>110</v>
      </c>
      <c r="K42">
        <v>132</v>
      </c>
      <c r="L42">
        <v>5180</v>
      </c>
      <c r="M42">
        <v>185727</v>
      </c>
      <c r="N42">
        <v>0</v>
      </c>
      <c r="O42">
        <v>0</v>
      </c>
      <c r="P42">
        <v>1</v>
      </c>
      <c r="Q42">
        <v>1</v>
      </c>
      <c r="R42" t="s">
        <v>32</v>
      </c>
      <c r="S42" t="s">
        <v>32</v>
      </c>
      <c r="T42" t="s">
        <v>33</v>
      </c>
      <c r="U42" t="s">
        <v>34</v>
      </c>
      <c r="V42" t="s">
        <v>35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1</v>
      </c>
      <c r="AE42">
        <f t="shared" si="0"/>
        <v>1</v>
      </c>
    </row>
    <row r="43" spans="1:31" x14ac:dyDescent="0.3">
      <c r="A43" t="s">
        <v>90</v>
      </c>
      <c r="B43" s="5">
        <v>2005</v>
      </c>
      <c r="C43" s="5" t="s">
        <v>38</v>
      </c>
      <c r="D43" s="2" t="s">
        <v>56</v>
      </c>
      <c r="E43" s="1" t="s">
        <v>31</v>
      </c>
      <c r="F43" t="s">
        <v>61</v>
      </c>
      <c r="G43">
        <v>11</v>
      </c>
      <c r="H43">
        <v>5399396</v>
      </c>
      <c r="I43">
        <v>50.21</v>
      </c>
      <c r="J43">
        <v>121</v>
      </c>
      <c r="K43">
        <v>164</v>
      </c>
      <c r="L43">
        <v>5152</v>
      </c>
      <c r="M43">
        <v>188529</v>
      </c>
      <c r="N43">
        <v>0</v>
      </c>
      <c r="O43">
        <v>0</v>
      </c>
      <c r="P43">
        <v>1</v>
      </c>
      <c r="Q43">
        <v>1</v>
      </c>
      <c r="R43" t="s">
        <v>61</v>
      </c>
      <c r="S43" t="s">
        <v>61</v>
      </c>
      <c r="T43" t="s">
        <v>33</v>
      </c>
      <c r="U43" t="s">
        <v>34</v>
      </c>
      <c r="V43" t="s">
        <v>35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3</v>
      </c>
      <c r="AD43">
        <v>7</v>
      </c>
      <c r="AE43">
        <f t="shared" si="0"/>
        <v>3</v>
      </c>
    </row>
    <row r="44" spans="1:31" x14ac:dyDescent="0.3">
      <c r="A44" t="s">
        <v>91</v>
      </c>
      <c r="B44" s="6">
        <v>2005</v>
      </c>
      <c r="C44" s="3" t="s">
        <v>29</v>
      </c>
      <c r="D44" s="9" t="s">
        <v>30</v>
      </c>
      <c r="E44" s="1" t="s">
        <v>31</v>
      </c>
      <c r="F44" t="s">
        <v>42</v>
      </c>
      <c r="G44">
        <v>11</v>
      </c>
      <c r="H44">
        <v>5381181</v>
      </c>
      <c r="I44">
        <v>50.24</v>
      </c>
      <c r="J44">
        <v>122</v>
      </c>
      <c r="K44">
        <v>159</v>
      </c>
      <c r="L44">
        <v>5115</v>
      </c>
      <c r="M44">
        <v>178246</v>
      </c>
      <c r="N44">
        <v>0</v>
      </c>
      <c r="O44">
        <v>0</v>
      </c>
      <c r="P44">
        <v>1</v>
      </c>
      <c r="Q44">
        <v>1</v>
      </c>
      <c r="R44" t="s">
        <v>42</v>
      </c>
      <c r="S44" t="s">
        <v>42</v>
      </c>
      <c r="T44" t="s">
        <v>33</v>
      </c>
      <c r="U44" t="s">
        <v>34</v>
      </c>
      <c r="V44" t="s">
        <v>35</v>
      </c>
      <c r="W44">
        <v>1</v>
      </c>
      <c r="X44">
        <v>1</v>
      </c>
      <c r="Y44">
        <v>1</v>
      </c>
      <c r="Z44">
        <v>0</v>
      </c>
      <c r="AA44">
        <v>0</v>
      </c>
      <c r="AB44">
        <v>1</v>
      </c>
      <c r="AC44">
        <v>3</v>
      </c>
      <c r="AD44">
        <v>10</v>
      </c>
      <c r="AE44">
        <f t="shared" si="0"/>
        <v>3</v>
      </c>
    </row>
    <row r="45" spans="1:31" x14ac:dyDescent="0.3">
      <c r="A45" t="s">
        <v>92</v>
      </c>
      <c r="B45" s="6">
        <v>2005</v>
      </c>
      <c r="C45" s="3" t="s">
        <v>38</v>
      </c>
      <c r="D45" s="9" t="s">
        <v>30</v>
      </c>
      <c r="E45" s="1" t="s">
        <v>31</v>
      </c>
      <c r="F45" t="s">
        <v>39</v>
      </c>
      <c r="G45">
        <v>11</v>
      </c>
      <c r="H45">
        <v>5330727</v>
      </c>
      <c r="I45">
        <v>50.28</v>
      </c>
      <c r="J45">
        <v>89</v>
      </c>
      <c r="K45">
        <v>131</v>
      </c>
      <c r="L45">
        <v>5055</v>
      </c>
      <c r="M45">
        <v>190104</v>
      </c>
      <c r="N45">
        <v>1</v>
      </c>
      <c r="O45">
        <v>1</v>
      </c>
      <c r="P45">
        <v>1</v>
      </c>
      <c r="Q45">
        <v>1</v>
      </c>
      <c r="R45" s="10" t="s">
        <v>39</v>
      </c>
      <c r="S45" s="10" t="s">
        <v>67</v>
      </c>
      <c r="T45" t="s">
        <v>33</v>
      </c>
      <c r="U45" t="s">
        <v>34</v>
      </c>
      <c r="V45" t="s">
        <v>35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2</v>
      </c>
      <c r="AD45">
        <v>4</v>
      </c>
      <c r="AE45">
        <f t="shared" si="0"/>
        <v>2</v>
      </c>
    </row>
    <row r="46" spans="1:31" x14ac:dyDescent="0.3">
      <c r="A46" t="s">
        <v>93</v>
      </c>
      <c r="B46" s="6">
        <v>2006</v>
      </c>
      <c r="C46" s="3" t="s">
        <v>29</v>
      </c>
      <c r="D46" s="9" t="s">
        <v>30</v>
      </c>
      <c r="E46" s="1" t="s">
        <v>31</v>
      </c>
      <c r="F46" t="s">
        <v>32</v>
      </c>
      <c r="G46">
        <v>11</v>
      </c>
      <c r="H46">
        <v>5422458</v>
      </c>
      <c r="I46">
        <v>50.25</v>
      </c>
      <c r="J46">
        <v>106</v>
      </c>
      <c r="K46">
        <v>145</v>
      </c>
      <c r="L46">
        <v>5198</v>
      </c>
      <c r="M46">
        <v>188305</v>
      </c>
      <c r="N46">
        <v>0</v>
      </c>
      <c r="O46">
        <v>0</v>
      </c>
      <c r="P46">
        <v>1</v>
      </c>
      <c r="Q46">
        <v>1</v>
      </c>
      <c r="R46" t="s">
        <v>32</v>
      </c>
      <c r="S46" t="s">
        <v>32</v>
      </c>
      <c r="T46" t="s">
        <v>33</v>
      </c>
      <c r="U46" t="s">
        <v>34</v>
      </c>
      <c r="V46" t="s">
        <v>35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f t="shared" si="0"/>
        <v>1</v>
      </c>
    </row>
    <row r="47" spans="1:31" x14ac:dyDescent="0.3">
      <c r="A47" t="s">
        <v>94</v>
      </c>
      <c r="B47" s="6">
        <v>2006</v>
      </c>
      <c r="C47" s="3" t="s">
        <v>29</v>
      </c>
      <c r="D47" s="9" t="s">
        <v>30</v>
      </c>
      <c r="E47" s="1" t="s">
        <v>31</v>
      </c>
      <c r="F47" t="s">
        <v>32</v>
      </c>
      <c r="G47">
        <v>11</v>
      </c>
      <c r="H47">
        <v>5403447</v>
      </c>
      <c r="I47">
        <v>50.26</v>
      </c>
      <c r="J47">
        <v>90</v>
      </c>
      <c r="K47">
        <v>149</v>
      </c>
      <c r="L47">
        <v>5172</v>
      </c>
      <c r="M47">
        <v>183735</v>
      </c>
      <c r="N47">
        <v>0</v>
      </c>
      <c r="O47">
        <v>0</v>
      </c>
      <c r="P47">
        <v>1</v>
      </c>
      <c r="Q47">
        <v>1</v>
      </c>
      <c r="R47" t="s">
        <v>32</v>
      </c>
      <c r="S47" t="s">
        <v>32</v>
      </c>
      <c r="T47" t="s">
        <v>33</v>
      </c>
      <c r="U47" t="s">
        <v>34</v>
      </c>
      <c r="V47" t="s">
        <v>35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f t="shared" si="0"/>
        <v>1</v>
      </c>
    </row>
    <row r="48" spans="1:31" x14ac:dyDescent="0.3">
      <c r="A48" t="s">
        <v>95</v>
      </c>
      <c r="B48" s="6">
        <v>2006</v>
      </c>
      <c r="C48" s="3" t="s">
        <v>38</v>
      </c>
      <c r="D48" s="9" t="s">
        <v>30</v>
      </c>
      <c r="E48" s="1" t="s">
        <v>31</v>
      </c>
      <c r="F48" t="s">
        <v>39</v>
      </c>
      <c r="G48">
        <v>11</v>
      </c>
      <c r="H48">
        <v>5368105</v>
      </c>
      <c r="I48">
        <v>50.2</v>
      </c>
      <c r="J48">
        <v>98</v>
      </c>
      <c r="K48">
        <v>136</v>
      </c>
      <c r="L48">
        <v>5115</v>
      </c>
      <c r="M48">
        <v>152178</v>
      </c>
      <c r="N48">
        <v>1</v>
      </c>
      <c r="O48">
        <v>1</v>
      </c>
      <c r="P48">
        <v>1</v>
      </c>
      <c r="Q48">
        <v>1</v>
      </c>
      <c r="R48" t="s">
        <v>39</v>
      </c>
      <c r="S48" t="s">
        <v>39</v>
      </c>
      <c r="T48" t="s">
        <v>33</v>
      </c>
      <c r="U48" t="s">
        <v>34</v>
      </c>
      <c r="V48" t="s">
        <v>35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2</v>
      </c>
      <c r="AD48">
        <v>4</v>
      </c>
      <c r="AE48">
        <f t="shared" si="0"/>
        <v>2</v>
      </c>
    </row>
    <row r="49" spans="1:31" x14ac:dyDescent="0.3">
      <c r="A49" t="s">
        <v>96</v>
      </c>
      <c r="B49" s="6">
        <v>2006</v>
      </c>
      <c r="C49" s="3" t="s">
        <v>38</v>
      </c>
      <c r="D49" s="9" t="s">
        <v>30</v>
      </c>
      <c r="E49" s="1" t="s">
        <v>31</v>
      </c>
      <c r="F49" t="s">
        <v>42</v>
      </c>
      <c r="G49">
        <v>11</v>
      </c>
      <c r="H49">
        <v>5326517</v>
      </c>
      <c r="I49">
        <v>50.28</v>
      </c>
      <c r="J49">
        <v>81</v>
      </c>
      <c r="K49">
        <v>128</v>
      </c>
      <c r="L49">
        <v>5080</v>
      </c>
      <c r="M49">
        <v>211449</v>
      </c>
      <c r="N49">
        <v>0</v>
      </c>
      <c r="O49">
        <v>0</v>
      </c>
      <c r="P49">
        <v>1</v>
      </c>
      <c r="Q49">
        <v>1</v>
      </c>
      <c r="R49" t="s">
        <v>42</v>
      </c>
      <c r="S49" t="s">
        <v>42</v>
      </c>
      <c r="T49" t="s">
        <v>33</v>
      </c>
      <c r="U49" t="s">
        <v>34</v>
      </c>
      <c r="V49" t="s">
        <v>35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3</v>
      </c>
      <c r="AD49">
        <v>7</v>
      </c>
      <c r="AE49">
        <f t="shared" si="0"/>
        <v>3</v>
      </c>
    </row>
    <row r="50" spans="1:31" x14ac:dyDescent="0.3">
      <c r="A50" t="s">
        <v>97</v>
      </c>
      <c r="B50" s="5">
        <v>2006</v>
      </c>
      <c r="C50" s="5" t="s">
        <v>38</v>
      </c>
      <c r="D50" s="2" t="s">
        <v>56</v>
      </c>
      <c r="E50" s="1" t="s">
        <v>31</v>
      </c>
      <c r="F50" t="s">
        <v>32</v>
      </c>
      <c r="G50">
        <v>11</v>
      </c>
      <c r="H50">
        <v>5404593</v>
      </c>
      <c r="I50">
        <v>50.26</v>
      </c>
      <c r="J50">
        <v>149</v>
      </c>
      <c r="K50">
        <v>150</v>
      </c>
      <c r="L50">
        <v>5169</v>
      </c>
      <c r="M50">
        <v>188305</v>
      </c>
      <c r="N50">
        <v>0</v>
      </c>
      <c r="O50">
        <v>0</v>
      </c>
      <c r="P50">
        <v>1</v>
      </c>
      <c r="Q50">
        <v>1</v>
      </c>
      <c r="R50" t="s">
        <v>32</v>
      </c>
      <c r="S50" t="s">
        <v>32</v>
      </c>
      <c r="T50" t="s">
        <v>33</v>
      </c>
      <c r="U50" t="s">
        <v>34</v>
      </c>
      <c r="V50" t="s">
        <v>35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2</v>
      </c>
      <c r="AE50">
        <f t="shared" si="0"/>
        <v>1</v>
      </c>
    </row>
    <row r="51" spans="1:31" x14ac:dyDescent="0.3">
      <c r="A51" t="s">
        <v>98</v>
      </c>
      <c r="B51" s="6">
        <v>2006</v>
      </c>
      <c r="C51" s="3" t="s">
        <v>29</v>
      </c>
      <c r="D51" s="9" t="s">
        <v>30</v>
      </c>
      <c r="E51" s="1" t="s">
        <v>31</v>
      </c>
      <c r="F51" t="s">
        <v>39</v>
      </c>
      <c r="G51">
        <v>11</v>
      </c>
      <c r="H51">
        <v>5564009</v>
      </c>
      <c r="I51">
        <v>50.26</v>
      </c>
      <c r="J51">
        <v>89</v>
      </c>
      <c r="K51">
        <v>185</v>
      </c>
      <c r="L51">
        <v>5368</v>
      </c>
      <c r="M51">
        <v>148217</v>
      </c>
      <c r="N51">
        <v>1</v>
      </c>
      <c r="O51">
        <v>1</v>
      </c>
      <c r="P51">
        <v>1</v>
      </c>
      <c r="Q51">
        <v>1</v>
      </c>
      <c r="R51" t="s">
        <v>39</v>
      </c>
      <c r="S51" t="s">
        <v>39</v>
      </c>
      <c r="T51" t="s">
        <v>33</v>
      </c>
      <c r="U51" t="s">
        <v>34</v>
      </c>
      <c r="V51" t="s">
        <v>35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2</v>
      </c>
      <c r="AD51">
        <v>4</v>
      </c>
      <c r="AE51">
        <f t="shared" si="0"/>
        <v>2</v>
      </c>
    </row>
    <row r="52" spans="1:31" x14ac:dyDescent="0.3">
      <c r="A52" t="s">
        <v>100</v>
      </c>
      <c r="B52" s="7">
        <v>2006</v>
      </c>
      <c r="C52" s="7" t="s">
        <v>29</v>
      </c>
      <c r="D52" s="9" t="s">
        <v>56</v>
      </c>
      <c r="E52" s="1" t="s">
        <v>31</v>
      </c>
      <c r="F52" t="s">
        <v>88</v>
      </c>
      <c r="G52">
        <v>11</v>
      </c>
      <c r="H52">
        <v>5450211</v>
      </c>
      <c r="I52">
        <v>50.29</v>
      </c>
      <c r="J52">
        <v>79</v>
      </c>
      <c r="K52">
        <v>126</v>
      </c>
      <c r="L52">
        <v>5201</v>
      </c>
      <c r="M52">
        <v>201721</v>
      </c>
      <c r="N52">
        <v>0</v>
      </c>
      <c r="O52">
        <v>0</v>
      </c>
      <c r="P52">
        <v>1</v>
      </c>
      <c r="Q52">
        <v>1</v>
      </c>
      <c r="R52" t="s">
        <v>88</v>
      </c>
      <c r="S52" t="s">
        <v>88</v>
      </c>
      <c r="T52" t="s">
        <v>33</v>
      </c>
      <c r="U52" t="s">
        <v>34</v>
      </c>
      <c r="V52" t="s">
        <v>35</v>
      </c>
      <c r="W52">
        <v>1</v>
      </c>
      <c r="X52">
        <v>1</v>
      </c>
      <c r="Y52">
        <v>1</v>
      </c>
      <c r="Z52">
        <v>0</v>
      </c>
      <c r="AA52">
        <v>1</v>
      </c>
      <c r="AB52">
        <v>0</v>
      </c>
      <c r="AC52">
        <v>1</v>
      </c>
      <c r="AD52">
        <v>1</v>
      </c>
      <c r="AE52">
        <f t="shared" si="0"/>
        <v>1</v>
      </c>
    </row>
    <row r="53" spans="1:31" x14ac:dyDescent="0.3">
      <c r="A53" t="s">
        <v>101</v>
      </c>
      <c r="B53" s="5">
        <v>2006</v>
      </c>
      <c r="C53" s="5" t="s">
        <v>38</v>
      </c>
      <c r="D53" s="2" t="s">
        <v>56</v>
      </c>
      <c r="E53" s="1" t="s">
        <v>31</v>
      </c>
      <c r="F53" t="s">
        <v>42</v>
      </c>
      <c r="G53">
        <v>11</v>
      </c>
      <c r="H53">
        <v>5452123</v>
      </c>
      <c r="I53">
        <v>50.29</v>
      </c>
      <c r="J53">
        <v>110</v>
      </c>
      <c r="K53">
        <v>162</v>
      </c>
      <c r="L53">
        <v>5196</v>
      </c>
      <c r="M53">
        <v>188530</v>
      </c>
      <c r="N53">
        <v>0</v>
      </c>
      <c r="O53">
        <v>0</v>
      </c>
      <c r="P53">
        <v>1</v>
      </c>
      <c r="Q53">
        <v>1</v>
      </c>
      <c r="R53" t="s">
        <v>42</v>
      </c>
      <c r="S53" t="s">
        <v>42</v>
      </c>
      <c r="T53" t="s">
        <v>33</v>
      </c>
      <c r="U53" t="s">
        <v>34</v>
      </c>
      <c r="V53" t="s">
        <v>35</v>
      </c>
      <c r="W53">
        <v>1</v>
      </c>
      <c r="X53">
        <v>1</v>
      </c>
      <c r="Y53">
        <v>1</v>
      </c>
      <c r="Z53">
        <v>0</v>
      </c>
      <c r="AA53">
        <v>0</v>
      </c>
      <c r="AB53">
        <v>1</v>
      </c>
      <c r="AC53">
        <v>3</v>
      </c>
      <c r="AD53">
        <v>7</v>
      </c>
      <c r="AE53">
        <f t="shared" si="0"/>
        <v>3</v>
      </c>
    </row>
    <row r="54" spans="1:31" x14ac:dyDescent="0.3">
      <c r="A54" t="s">
        <v>102</v>
      </c>
      <c r="B54" s="5">
        <v>2006</v>
      </c>
      <c r="C54" s="5" t="s">
        <v>29</v>
      </c>
      <c r="D54" s="2" t="s">
        <v>56</v>
      </c>
      <c r="E54" s="1" t="s">
        <v>31</v>
      </c>
      <c r="F54" t="s">
        <v>39</v>
      </c>
      <c r="G54">
        <v>11</v>
      </c>
      <c r="H54">
        <v>5458835</v>
      </c>
      <c r="I54">
        <v>50.21</v>
      </c>
      <c r="J54">
        <v>153</v>
      </c>
      <c r="K54">
        <v>146</v>
      </c>
      <c r="L54">
        <v>5221</v>
      </c>
      <c r="M54">
        <v>160335</v>
      </c>
      <c r="N54">
        <v>1</v>
      </c>
      <c r="O54">
        <v>1</v>
      </c>
      <c r="P54">
        <v>1</v>
      </c>
      <c r="Q54">
        <v>1</v>
      </c>
      <c r="R54" t="s">
        <v>39</v>
      </c>
      <c r="S54" t="s">
        <v>39</v>
      </c>
      <c r="T54" t="s">
        <v>33</v>
      </c>
      <c r="U54" t="s">
        <v>34</v>
      </c>
      <c r="V54" t="s">
        <v>35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2</v>
      </c>
      <c r="AD54">
        <v>4</v>
      </c>
      <c r="AE54">
        <f t="shared" si="0"/>
        <v>2</v>
      </c>
    </row>
    <row r="55" spans="1:31" x14ac:dyDescent="0.3">
      <c r="A55" t="s">
        <v>103</v>
      </c>
      <c r="B55" s="5">
        <v>2006</v>
      </c>
      <c r="C55" s="5" t="s">
        <v>38</v>
      </c>
      <c r="D55" s="2" t="s">
        <v>56</v>
      </c>
      <c r="E55" s="1" t="s">
        <v>31</v>
      </c>
      <c r="F55" t="s">
        <v>42</v>
      </c>
      <c r="G55">
        <v>11</v>
      </c>
      <c r="H55">
        <v>5407970</v>
      </c>
      <c r="I55">
        <v>50.25</v>
      </c>
      <c r="J55">
        <v>84</v>
      </c>
      <c r="K55">
        <v>172</v>
      </c>
      <c r="L55">
        <v>5151</v>
      </c>
      <c r="M55">
        <v>163252</v>
      </c>
      <c r="N55">
        <v>0</v>
      </c>
      <c r="O55">
        <v>0</v>
      </c>
      <c r="P55">
        <v>1</v>
      </c>
      <c r="Q55">
        <v>1</v>
      </c>
      <c r="R55" t="s">
        <v>42</v>
      </c>
      <c r="S55" t="s">
        <v>42</v>
      </c>
      <c r="T55" t="s">
        <v>33</v>
      </c>
      <c r="U55" t="s">
        <v>34</v>
      </c>
      <c r="V55" t="s">
        <v>35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3</v>
      </c>
      <c r="AD55">
        <v>7</v>
      </c>
      <c r="AE55">
        <f t="shared" si="0"/>
        <v>3</v>
      </c>
    </row>
    <row r="56" spans="1:31" x14ac:dyDescent="0.3">
      <c r="A56" t="s">
        <v>104</v>
      </c>
      <c r="B56" s="6">
        <v>2007</v>
      </c>
      <c r="C56" s="3"/>
      <c r="D56" s="9" t="s">
        <v>30</v>
      </c>
      <c r="E56" s="1" t="s">
        <v>31</v>
      </c>
      <c r="F56" t="s">
        <v>32</v>
      </c>
      <c r="G56">
        <v>11</v>
      </c>
      <c r="H56">
        <v>5477130</v>
      </c>
      <c r="I56">
        <v>50.21</v>
      </c>
      <c r="J56">
        <v>86</v>
      </c>
      <c r="K56">
        <v>146</v>
      </c>
      <c r="L56">
        <v>5254</v>
      </c>
      <c r="M56">
        <v>188305</v>
      </c>
      <c r="N56">
        <v>0</v>
      </c>
      <c r="O56">
        <v>0</v>
      </c>
      <c r="P56">
        <v>1</v>
      </c>
      <c r="Q56">
        <v>1</v>
      </c>
      <c r="R56" t="s">
        <v>32</v>
      </c>
      <c r="S56" t="s">
        <v>32</v>
      </c>
      <c r="T56" t="s">
        <v>33</v>
      </c>
      <c r="U56" t="s">
        <v>34</v>
      </c>
      <c r="V56" t="s">
        <v>35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1</v>
      </c>
      <c r="AE56">
        <f t="shared" si="0"/>
        <v>1</v>
      </c>
    </row>
    <row r="57" spans="1:31" x14ac:dyDescent="0.3">
      <c r="A57" t="s">
        <v>105</v>
      </c>
      <c r="B57" s="6">
        <v>2007</v>
      </c>
      <c r="C57" s="3" t="s">
        <v>29</v>
      </c>
      <c r="D57" s="9" t="s">
        <v>30</v>
      </c>
      <c r="E57" s="1" t="s">
        <v>31</v>
      </c>
      <c r="F57" t="s">
        <v>42</v>
      </c>
      <c r="G57">
        <v>11</v>
      </c>
      <c r="H57">
        <v>5395472</v>
      </c>
      <c r="I57">
        <v>50.23</v>
      </c>
      <c r="J57">
        <v>91</v>
      </c>
      <c r="K57">
        <v>147</v>
      </c>
      <c r="L57">
        <v>5154</v>
      </c>
      <c r="M57">
        <v>188530</v>
      </c>
      <c r="N57">
        <v>0</v>
      </c>
      <c r="O57">
        <v>0</v>
      </c>
      <c r="P57">
        <v>0</v>
      </c>
      <c r="Q57">
        <v>1</v>
      </c>
      <c r="R57" t="s">
        <v>42</v>
      </c>
      <c r="S57" t="s">
        <v>42</v>
      </c>
      <c r="T57" t="s">
        <v>33</v>
      </c>
      <c r="U57" t="s">
        <v>34</v>
      </c>
      <c r="V57" t="s">
        <v>35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4</v>
      </c>
      <c r="AD57">
        <v>11</v>
      </c>
      <c r="AE57">
        <f t="shared" si="0"/>
        <v>3</v>
      </c>
    </row>
    <row r="58" spans="1:31" x14ac:dyDescent="0.3">
      <c r="A58" t="s">
        <v>106</v>
      </c>
      <c r="B58" s="6">
        <v>2007</v>
      </c>
      <c r="C58" s="6" t="s">
        <v>29</v>
      </c>
      <c r="D58" s="6" t="s">
        <v>56</v>
      </c>
      <c r="E58" s="1" t="s">
        <v>31</v>
      </c>
      <c r="F58" t="s">
        <v>42</v>
      </c>
      <c r="G58">
        <v>11</v>
      </c>
      <c r="H58">
        <v>5468373</v>
      </c>
      <c r="I58">
        <v>50.25</v>
      </c>
      <c r="J58">
        <v>160</v>
      </c>
      <c r="K58">
        <v>165</v>
      </c>
      <c r="L58">
        <v>5232</v>
      </c>
      <c r="M58">
        <v>202031</v>
      </c>
      <c r="N58">
        <v>0</v>
      </c>
      <c r="O58">
        <v>0</v>
      </c>
      <c r="P58">
        <v>1</v>
      </c>
      <c r="Q58">
        <v>1</v>
      </c>
      <c r="R58" t="s">
        <v>42</v>
      </c>
      <c r="S58" t="s">
        <v>42</v>
      </c>
      <c r="T58" t="s">
        <v>33</v>
      </c>
      <c r="U58" t="s">
        <v>34</v>
      </c>
      <c r="V58" t="s">
        <v>35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3</v>
      </c>
      <c r="AD58">
        <v>8</v>
      </c>
      <c r="AE58">
        <f t="shared" si="0"/>
        <v>3</v>
      </c>
    </row>
    <row r="59" spans="1:31" x14ac:dyDescent="0.3">
      <c r="A59" t="s">
        <v>107</v>
      </c>
      <c r="B59" s="6">
        <v>2007</v>
      </c>
      <c r="C59" s="3"/>
      <c r="D59" s="9" t="s">
        <v>30</v>
      </c>
      <c r="E59" s="1" t="s">
        <v>31</v>
      </c>
      <c r="F59" t="s">
        <v>32</v>
      </c>
      <c r="G59">
        <v>11</v>
      </c>
      <c r="H59">
        <v>5456271</v>
      </c>
      <c r="I59">
        <v>50.19</v>
      </c>
      <c r="J59">
        <v>75</v>
      </c>
      <c r="K59">
        <v>160</v>
      </c>
      <c r="L59">
        <v>5238</v>
      </c>
      <c r="M59">
        <v>163246</v>
      </c>
      <c r="N59">
        <v>0</v>
      </c>
      <c r="O59">
        <v>0</v>
      </c>
      <c r="P59">
        <v>1</v>
      </c>
      <c r="Q59">
        <v>1</v>
      </c>
      <c r="R59" t="s">
        <v>32</v>
      </c>
      <c r="S59" t="s">
        <v>32</v>
      </c>
      <c r="T59" t="s">
        <v>33</v>
      </c>
      <c r="U59" t="s">
        <v>34</v>
      </c>
      <c r="V59" t="s">
        <v>35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1</v>
      </c>
      <c r="AD59">
        <v>1</v>
      </c>
      <c r="AE59">
        <f t="shared" si="0"/>
        <v>1</v>
      </c>
    </row>
    <row r="60" spans="1:31" x14ac:dyDescent="0.3">
      <c r="A60" t="s">
        <v>108</v>
      </c>
      <c r="B60" s="6">
        <v>2007</v>
      </c>
      <c r="C60" s="3" t="s">
        <v>29</v>
      </c>
      <c r="D60" s="9" t="s">
        <v>30</v>
      </c>
      <c r="E60" s="1" t="s">
        <v>31</v>
      </c>
      <c r="F60" t="s">
        <v>32</v>
      </c>
      <c r="G60">
        <v>11</v>
      </c>
      <c r="H60">
        <v>5398295</v>
      </c>
      <c r="I60">
        <v>50.25</v>
      </c>
      <c r="J60">
        <v>79</v>
      </c>
      <c r="K60">
        <v>139</v>
      </c>
      <c r="L60">
        <v>5157</v>
      </c>
      <c r="M60">
        <v>188305</v>
      </c>
      <c r="N60">
        <v>0</v>
      </c>
      <c r="O60">
        <v>0</v>
      </c>
      <c r="P60">
        <v>1</v>
      </c>
      <c r="Q60">
        <v>1</v>
      </c>
      <c r="R60" t="s">
        <v>32</v>
      </c>
      <c r="S60" t="s">
        <v>32</v>
      </c>
      <c r="T60" t="s">
        <v>33</v>
      </c>
      <c r="U60" t="s">
        <v>34</v>
      </c>
      <c r="V60" t="s">
        <v>35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1</v>
      </c>
      <c r="AE60">
        <f t="shared" si="0"/>
        <v>1</v>
      </c>
    </row>
    <row r="61" spans="1:31" x14ac:dyDescent="0.3">
      <c r="A61" t="s">
        <v>109</v>
      </c>
      <c r="B61" s="6">
        <v>2007</v>
      </c>
      <c r="C61" s="3" t="s">
        <v>29</v>
      </c>
      <c r="D61" s="9" t="s">
        <v>30</v>
      </c>
      <c r="E61" s="1" t="s">
        <v>31</v>
      </c>
      <c r="F61" t="s">
        <v>39</v>
      </c>
      <c r="G61">
        <v>11</v>
      </c>
      <c r="H61">
        <v>5386757</v>
      </c>
      <c r="I61">
        <v>50.22</v>
      </c>
      <c r="J61">
        <v>90</v>
      </c>
      <c r="K61">
        <v>129</v>
      </c>
      <c r="L61">
        <v>5136</v>
      </c>
      <c r="M61">
        <v>160335</v>
      </c>
      <c r="N61">
        <v>1</v>
      </c>
      <c r="O61">
        <v>1</v>
      </c>
      <c r="P61">
        <v>1</v>
      </c>
      <c r="Q61">
        <v>1</v>
      </c>
      <c r="R61" t="s">
        <v>39</v>
      </c>
      <c r="S61" t="s">
        <v>39</v>
      </c>
      <c r="T61" t="s">
        <v>33</v>
      </c>
      <c r="U61" t="s">
        <v>34</v>
      </c>
      <c r="V61" t="s">
        <v>35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2</v>
      </c>
      <c r="AD61">
        <v>4</v>
      </c>
      <c r="AE61">
        <f t="shared" si="0"/>
        <v>2</v>
      </c>
    </row>
    <row r="62" spans="1:31" x14ac:dyDescent="0.3">
      <c r="A62" t="s">
        <v>110</v>
      </c>
      <c r="B62" s="6">
        <v>2007</v>
      </c>
      <c r="C62" s="3" t="s">
        <v>38</v>
      </c>
      <c r="D62" s="9" t="s">
        <v>30</v>
      </c>
      <c r="E62" s="1" t="s">
        <v>31</v>
      </c>
      <c r="F62" t="s">
        <v>42</v>
      </c>
      <c r="G62">
        <v>11</v>
      </c>
      <c r="H62">
        <v>5373388</v>
      </c>
      <c r="I62">
        <v>50.24</v>
      </c>
      <c r="J62">
        <v>92</v>
      </c>
      <c r="K62">
        <v>139</v>
      </c>
      <c r="L62">
        <v>5120</v>
      </c>
      <c r="M62">
        <v>163239</v>
      </c>
      <c r="N62">
        <v>0</v>
      </c>
      <c r="O62">
        <v>0</v>
      </c>
      <c r="P62">
        <v>1</v>
      </c>
      <c r="Q62">
        <v>1</v>
      </c>
      <c r="R62" t="s">
        <v>42</v>
      </c>
      <c r="S62" t="s">
        <v>42</v>
      </c>
      <c r="T62" t="s">
        <v>33</v>
      </c>
      <c r="U62" t="s">
        <v>34</v>
      </c>
      <c r="V62" t="s">
        <v>35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3</v>
      </c>
      <c r="AD62">
        <v>8</v>
      </c>
      <c r="AE62">
        <f t="shared" si="0"/>
        <v>3</v>
      </c>
    </row>
    <row r="63" spans="1:31" x14ac:dyDescent="0.3">
      <c r="A63" t="s">
        <v>111</v>
      </c>
      <c r="B63" s="5">
        <v>2007</v>
      </c>
      <c r="C63" s="5" t="s">
        <v>29</v>
      </c>
      <c r="D63" s="2" t="s">
        <v>56</v>
      </c>
      <c r="E63" s="1" t="s">
        <v>31</v>
      </c>
      <c r="F63" t="s">
        <v>32</v>
      </c>
      <c r="G63">
        <v>11</v>
      </c>
      <c r="H63">
        <v>5408479</v>
      </c>
      <c r="I63">
        <v>50.26</v>
      </c>
      <c r="J63">
        <v>128</v>
      </c>
      <c r="K63">
        <v>177</v>
      </c>
      <c r="L63">
        <v>5174</v>
      </c>
      <c r="M63">
        <v>188305</v>
      </c>
      <c r="N63">
        <v>0</v>
      </c>
      <c r="O63">
        <v>0</v>
      </c>
      <c r="P63">
        <v>1</v>
      </c>
      <c r="Q63">
        <v>1</v>
      </c>
      <c r="R63" t="s">
        <v>32</v>
      </c>
      <c r="S63" t="s">
        <v>32</v>
      </c>
      <c r="T63" t="s">
        <v>33</v>
      </c>
      <c r="U63" t="s">
        <v>34</v>
      </c>
      <c r="V63" t="s">
        <v>35</v>
      </c>
      <c r="W63">
        <v>1</v>
      </c>
      <c r="X63">
        <v>1</v>
      </c>
      <c r="Y63">
        <v>1</v>
      </c>
      <c r="Z63">
        <v>0</v>
      </c>
      <c r="AA63">
        <v>1</v>
      </c>
      <c r="AB63">
        <v>0</v>
      </c>
      <c r="AC63">
        <v>1</v>
      </c>
      <c r="AD63">
        <v>1</v>
      </c>
      <c r="AE63">
        <f t="shared" si="0"/>
        <v>1</v>
      </c>
    </row>
    <row r="64" spans="1:31" x14ac:dyDescent="0.3">
      <c r="A64" t="s">
        <v>112</v>
      </c>
      <c r="B64" s="6">
        <v>2007</v>
      </c>
      <c r="C64" s="6" t="s">
        <v>38</v>
      </c>
      <c r="D64" s="6" t="s">
        <v>56</v>
      </c>
      <c r="E64" s="1" t="s">
        <v>31</v>
      </c>
      <c r="F64" t="s">
        <v>39</v>
      </c>
      <c r="G64">
        <v>11</v>
      </c>
      <c r="H64">
        <v>5270154</v>
      </c>
      <c r="I64">
        <v>50.3</v>
      </c>
      <c r="J64">
        <v>92</v>
      </c>
      <c r="K64">
        <v>119</v>
      </c>
      <c r="L64">
        <v>4981</v>
      </c>
      <c r="M64">
        <v>188388</v>
      </c>
      <c r="N64">
        <v>1</v>
      </c>
      <c r="O64">
        <v>1</v>
      </c>
      <c r="P64">
        <v>1</v>
      </c>
      <c r="Q64">
        <v>1</v>
      </c>
      <c r="R64" s="10" t="s">
        <v>39</v>
      </c>
      <c r="S64" s="10" t="s">
        <v>67</v>
      </c>
      <c r="T64" t="s">
        <v>33</v>
      </c>
      <c r="U64" t="s">
        <v>34</v>
      </c>
      <c r="V64" t="s">
        <v>35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>
        <v>2</v>
      </c>
      <c r="AD64">
        <v>4</v>
      </c>
      <c r="AE64">
        <f t="shared" si="0"/>
        <v>2</v>
      </c>
    </row>
    <row r="65" spans="1:31" x14ac:dyDescent="0.3">
      <c r="A65" t="s">
        <v>113</v>
      </c>
      <c r="B65" s="5">
        <v>2007</v>
      </c>
      <c r="C65" s="5" t="s">
        <v>38</v>
      </c>
      <c r="D65" s="2" t="s">
        <v>56</v>
      </c>
      <c r="E65" s="1" t="s">
        <v>31</v>
      </c>
      <c r="F65" t="s">
        <v>42</v>
      </c>
      <c r="G65">
        <v>11</v>
      </c>
      <c r="H65">
        <v>5461411</v>
      </c>
      <c r="I65">
        <v>50.25</v>
      </c>
      <c r="J65">
        <v>90</v>
      </c>
      <c r="K65">
        <v>164</v>
      </c>
      <c r="L65">
        <v>5205</v>
      </c>
      <c r="M65">
        <v>188530</v>
      </c>
      <c r="N65">
        <v>0</v>
      </c>
      <c r="O65">
        <v>0</v>
      </c>
      <c r="P65">
        <v>1</v>
      </c>
      <c r="Q65">
        <v>1</v>
      </c>
      <c r="R65" t="s">
        <v>42</v>
      </c>
      <c r="S65" t="s">
        <v>42</v>
      </c>
      <c r="T65" t="s">
        <v>33</v>
      </c>
      <c r="U65" t="s">
        <v>34</v>
      </c>
      <c r="V65" t="s">
        <v>35</v>
      </c>
      <c r="W65">
        <v>1</v>
      </c>
      <c r="X65">
        <v>1</v>
      </c>
      <c r="Y65">
        <v>1</v>
      </c>
      <c r="Z65">
        <v>0</v>
      </c>
      <c r="AA65">
        <v>0</v>
      </c>
      <c r="AB65">
        <v>1</v>
      </c>
      <c r="AC65">
        <v>3</v>
      </c>
      <c r="AD65">
        <v>9</v>
      </c>
      <c r="AE65">
        <f t="shared" si="0"/>
        <v>3</v>
      </c>
    </row>
    <row r="66" spans="1:31" x14ac:dyDescent="0.3">
      <c r="A66" t="s">
        <v>114</v>
      </c>
      <c r="B66" s="6">
        <v>2007</v>
      </c>
      <c r="C66" s="6" t="s">
        <v>38</v>
      </c>
      <c r="D66" s="6" t="s">
        <v>56</v>
      </c>
      <c r="E66" s="1" t="s">
        <v>31</v>
      </c>
      <c r="F66" t="s">
        <v>32</v>
      </c>
      <c r="G66">
        <v>11</v>
      </c>
      <c r="H66">
        <v>5321525</v>
      </c>
      <c r="I66">
        <v>50.27</v>
      </c>
      <c r="J66">
        <v>142</v>
      </c>
      <c r="K66">
        <v>121</v>
      </c>
      <c r="L66">
        <v>5068</v>
      </c>
      <c r="M66">
        <v>188305</v>
      </c>
      <c r="N66">
        <v>0</v>
      </c>
      <c r="O66">
        <v>0</v>
      </c>
      <c r="P66">
        <v>1</v>
      </c>
      <c r="Q66">
        <v>1</v>
      </c>
      <c r="R66" t="s">
        <v>32</v>
      </c>
      <c r="S66" t="s">
        <v>32</v>
      </c>
      <c r="T66" t="s">
        <v>33</v>
      </c>
      <c r="U66" t="s">
        <v>34</v>
      </c>
      <c r="V66" t="s">
        <v>35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1</v>
      </c>
      <c r="AD66">
        <v>1</v>
      </c>
      <c r="AE66">
        <f t="shared" si="0"/>
        <v>1</v>
      </c>
    </row>
    <row r="67" spans="1:31" x14ac:dyDescent="0.3">
      <c r="A67" t="s">
        <v>115</v>
      </c>
      <c r="B67" s="7">
        <v>2008</v>
      </c>
      <c r="C67" s="7" t="s">
        <v>29</v>
      </c>
      <c r="D67" s="7" t="s">
        <v>56</v>
      </c>
      <c r="E67" s="1" t="s">
        <v>31</v>
      </c>
      <c r="F67" t="s">
        <v>32</v>
      </c>
      <c r="G67">
        <v>11</v>
      </c>
      <c r="H67">
        <v>5387046</v>
      </c>
      <c r="I67">
        <v>50.25</v>
      </c>
      <c r="J67">
        <v>79</v>
      </c>
      <c r="K67">
        <v>136</v>
      </c>
      <c r="L67">
        <v>5149</v>
      </c>
      <c r="M67">
        <v>188961</v>
      </c>
      <c r="N67">
        <v>0</v>
      </c>
      <c r="O67">
        <v>0</v>
      </c>
      <c r="P67">
        <v>1</v>
      </c>
      <c r="Q67">
        <v>1</v>
      </c>
      <c r="R67" t="s">
        <v>32</v>
      </c>
      <c r="S67" t="s">
        <v>32</v>
      </c>
      <c r="T67" t="s">
        <v>33</v>
      </c>
      <c r="U67" t="s">
        <v>34</v>
      </c>
      <c r="V67" t="s">
        <v>35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1</v>
      </c>
      <c r="AD67">
        <v>1</v>
      </c>
      <c r="AE67">
        <f t="shared" ref="AE67:AE130" si="1">IF(AC67=4,3,AC67)</f>
        <v>1</v>
      </c>
    </row>
    <row r="68" spans="1:31" x14ac:dyDescent="0.3">
      <c r="A68" t="s">
        <v>116</v>
      </c>
      <c r="B68" s="3">
        <v>2008</v>
      </c>
      <c r="C68" s="3"/>
      <c r="D68" s="9" t="s">
        <v>30</v>
      </c>
      <c r="E68" s="1" t="s">
        <v>31</v>
      </c>
      <c r="F68" t="s">
        <v>32</v>
      </c>
      <c r="G68">
        <v>11</v>
      </c>
      <c r="H68">
        <v>5387718</v>
      </c>
      <c r="I68">
        <v>50.26</v>
      </c>
      <c r="J68">
        <v>97</v>
      </c>
      <c r="K68">
        <v>136</v>
      </c>
      <c r="L68">
        <v>5142</v>
      </c>
      <c r="M68">
        <v>188959</v>
      </c>
      <c r="N68">
        <v>0</v>
      </c>
      <c r="O68">
        <v>0</v>
      </c>
      <c r="P68">
        <v>1</v>
      </c>
      <c r="Q68">
        <v>1</v>
      </c>
      <c r="R68" t="s">
        <v>32</v>
      </c>
      <c r="S68" t="s">
        <v>32</v>
      </c>
      <c r="T68" t="s">
        <v>33</v>
      </c>
      <c r="U68" t="s">
        <v>34</v>
      </c>
      <c r="V68" t="s">
        <v>35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1</v>
      </c>
      <c r="AE68">
        <f t="shared" si="1"/>
        <v>1</v>
      </c>
    </row>
    <row r="69" spans="1:31" x14ac:dyDescent="0.3">
      <c r="A69" t="s">
        <v>117</v>
      </c>
      <c r="B69" s="7">
        <v>2008</v>
      </c>
      <c r="C69" s="7" t="s">
        <v>29</v>
      </c>
      <c r="D69" s="9" t="s">
        <v>56</v>
      </c>
      <c r="E69" s="1" t="s">
        <v>31</v>
      </c>
      <c r="F69" t="s">
        <v>118</v>
      </c>
      <c r="G69">
        <v>11</v>
      </c>
      <c r="H69">
        <v>5355251</v>
      </c>
      <c r="I69">
        <v>50.28</v>
      </c>
      <c r="J69">
        <v>79</v>
      </c>
      <c r="K69">
        <v>153</v>
      </c>
      <c r="L69">
        <v>5090</v>
      </c>
      <c r="M69">
        <v>163199</v>
      </c>
      <c r="N69">
        <v>1</v>
      </c>
      <c r="O69">
        <v>1</v>
      </c>
      <c r="P69">
        <v>0</v>
      </c>
      <c r="Q69">
        <v>1</v>
      </c>
      <c r="R69" t="s">
        <v>118</v>
      </c>
      <c r="S69" t="s">
        <v>118</v>
      </c>
      <c r="T69" t="s">
        <v>33</v>
      </c>
      <c r="U69" t="s">
        <v>34</v>
      </c>
      <c r="V69" t="s">
        <v>35</v>
      </c>
      <c r="W69">
        <v>1</v>
      </c>
      <c r="X69">
        <v>1</v>
      </c>
      <c r="Y69">
        <v>1</v>
      </c>
      <c r="Z69">
        <v>1</v>
      </c>
      <c r="AA69">
        <v>0</v>
      </c>
      <c r="AB69">
        <v>0</v>
      </c>
      <c r="AC69">
        <v>4</v>
      </c>
      <c r="AD69">
        <v>12</v>
      </c>
      <c r="AE69">
        <f t="shared" si="1"/>
        <v>3</v>
      </c>
    </row>
    <row r="70" spans="1:31" x14ac:dyDescent="0.3">
      <c r="A70" t="s">
        <v>119</v>
      </c>
      <c r="B70" s="7">
        <v>2008</v>
      </c>
      <c r="C70" s="7" t="s">
        <v>29</v>
      </c>
      <c r="D70" s="9" t="s">
        <v>56</v>
      </c>
      <c r="E70" s="1" t="s">
        <v>31</v>
      </c>
      <c r="F70" t="s">
        <v>61</v>
      </c>
      <c r="G70">
        <v>11</v>
      </c>
      <c r="H70">
        <v>5430690</v>
      </c>
      <c r="I70">
        <v>50.16</v>
      </c>
      <c r="J70">
        <v>85</v>
      </c>
      <c r="K70">
        <v>149</v>
      </c>
      <c r="L70">
        <v>5212</v>
      </c>
      <c r="M70">
        <v>160337</v>
      </c>
      <c r="N70">
        <v>0</v>
      </c>
      <c r="O70">
        <v>0</v>
      </c>
      <c r="P70">
        <v>1</v>
      </c>
      <c r="Q70">
        <v>1</v>
      </c>
      <c r="R70" t="s">
        <v>61</v>
      </c>
      <c r="S70" t="s">
        <v>61</v>
      </c>
      <c r="T70" t="s">
        <v>33</v>
      </c>
      <c r="U70" t="s">
        <v>34</v>
      </c>
      <c r="V70" t="s">
        <v>35</v>
      </c>
      <c r="W70">
        <v>1</v>
      </c>
      <c r="X70">
        <v>1</v>
      </c>
      <c r="Y70">
        <v>1</v>
      </c>
      <c r="Z70">
        <v>0</v>
      </c>
      <c r="AA70">
        <v>0</v>
      </c>
      <c r="AB70">
        <v>1</v>
      </c>
      <c r="AC70">
        <v>2</v>
      </c>
      <c r="AD70">
        <v>6</v>
      </c>
      <c r="AE70">
        <f t="shared" si="1"/>
        <v>2</v>
      </c>
    </row>
    <row r="71" spans="1:31" x14ac:dyDescent="0.3">
      <c r="A71" t="s">
        <v>120</v>
      </c>
      <c r="B71" s="5">
        <v>2008</v>
      </c>
      <c r="C71" s="5" t="s">
        <v>29</v>
      </c>
      <c r="D71" s="2" t="s">
        <v>56</v>
      </c>
      <c r="E71" s="1" t="s">
        <v>31</v>
      </c>
      <c r="F71" t="s">
        <v>42</v>
      </c>
      <c r="G71">
        <v>11</v>
      </c>
      <c r="H71">
        <v>5364808</v>
      </c>
      <c r="I71">
        <v>50.25</v>
      </c>
      <c r="J71">
        <v>184</v>
      </c>
      <c r="K71">
        <v>170</v>
      </c>
      <c r="L71">
        <v>5092</v>
      </c>
      <c r="M71">
        <v>188530</v>
      </c>
      <c r="N71">
        <v>0</v>
      </c>
      <c r="O71">
        <v>0</v>
      </c>
      <c r="P71">
        <v>1</v>
      </c>
      <c r="Q71">
        <v>1</v>
      </c>
      <c r="R71" t="s">
        <v>42</v>
      </c>
      <c r="S71" t="s">
        <v>42</v>
      </c>
      <c r="T71" t="s">
        <v>33</v>
      </c>
      <c r="U71" t="s">
        <v>34</v>
      </c>
      <c r="V71" t="s">
        <v>35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4</v>
      </c>
      <c r="AD71">
        <v>11</v>
      </c>
      <c r="AE71">
        <f t="shared" si="1"/>
        <v>3</v>
      </c>
    </row>
    <row r="72" spans="1:31" x14ac:dyDescent="0.3">
      <c r="A72" t="s">
        <v>121</v>
      </c>
      <c r="B72" s="5">
        <v>2008</v>
      </c>
      <c r="C72" s="5" t="s">
        <v>38</v>
      </c>
      <c r="D72" s="2" t="s">
        <v>56</v>
      </c>
      <c r="E72" s="1" t="s">
        <v>31</v>
      </c>
      <c r="F72" t="s">
        <v>39</v>
      </c>
      <c r="G72">
        <v>11</v>
      </c>
      <c r="H72">
        <v>5210638</v>
      </c>
      <c r="I72">
        <v>50.33</v>
      </c>
      <c r="J72">
        <v>93</v>
      </c>
      <c r="K72">
        <v>134</v>
      </c>
      <c r="L72">
        <v>4948</v>
      </c>
      <c r="M72">
        <v>188388</v>
      </c>
      <c r="N72">
        <v>1</v>
      </c>
      <c r="O72">
        <v>1</v>
      </c>
      <c r="P72">
        <v>1</v>
      </c>
      <c r="Q72">
        <v>1</v>
      </c>
      <c r="R72" t="s">
        <v>39</v>
      </c>
      <c r="S72" t="s">
        <v>39</v>
      </c>
      <c r="T72" t="s">
        <v>33</v>
      </c>
      <c r="U72" t="s">
        <v>34</v>
      </c>
      <c r="V72" t="s">
        <v>35</v>
      </c>
      <c r="W72">
        <v>1</v>
      </c>
      <c r="X72">
        <v>0</v>
      </c>
      <c r="Y72">
        <v>1</v>
      </c>
      <c r="Z72">
        <v>1</v>
      </c>
      <c r="AA72">
        <v>1</v>
      </c>
      <c r="AB72">
        <v>0</v>
      </c>
      <c r="AC72">
        <v>2</v>
      </c>
      <c r="AD72">
        <v>5</v>
      </c>
      <c r="AE72">
        <f t="shared" si="1"/>
        <v>2</v>
      </c>
    </row>
    <row r="73" spans="1:31" x14ac:dyDescent="0.3">
      <c r="A73" t="s">
        <v>122</v>
      </c>
      <c r="B73" s="5">
        <v>2008</v>
      </c>
      <c r="C73" s="5" t="s">
        <v>38</v>
      </c>
      <c r="D73" s="2" t="s">
        <v>56</v>
      </c>
      <c r="E73" s="1" t="s">
        <v>31</v>
      </c>
      <c r="F73" t="s">
        <v>32</v>
      </c>
      <c r="G73">
        <v>11</v>
      </c>
      <c r="H73">
        <v>5406874</v>
      </c>
      <c r="I73">
        <v>50.27</v>
      </c>
      <c r="J73">
        <v>134</v>
      </c>
      <c r="K73">
        <v>163</v>
      </c>
      <c r="L73">
        <v>5180</v>
      </c>
      <c r="M73">
        <v>158585</v>
      </c>
      <c r="N73">
        <v>0</v>
      </c>
      <c r="O73">
        <v>0</v>
      </c>
      <c r="P73">
        <v>1</v>
      </c>
      <c r="Q73">
        <v>1</v>
      </c>
      <c r="R73" t="s">
        <v>32</v>
      </c>
      <c r="S73" t="s">
        <v>32</v>
      </c>
      <c r="T73" t="s">
        <v>33</v>
      </c>
      <c r="U73" t="s">
        <v>34</v>
      </c>
      <c r="V73" t="s">
        <v>35</v>
      </c>
      <c r="W73">
        <v>1</v>
      </c>
      <c r="X73">
        <v>1</v>
      </c>
      <c r="Y73">
        <v>1</v>
      </c>
      <c r="Z73">
        <v>0</v>
      </c>
      <c r="AA73">
        <v>1</v>
      </c>
      <c r="AB73">
        <v>0</v>
      </c>
      <c r="AC73">
        <v>1</v>
      </c>
      <c r="AD73">
        <v>1</v>
      </c>
      <c r="AE73">
        <f t="shared" si="1"/>
        <v>1</v>
      </c>
    </row>
    <row r="74" spans="1:31" x14ac:dyDescent="0.3">
      <c r="A74" t="s">
        <v>123</v>
      </c>
      <c r="B74" s="5">
        <v>2008</v>
      </c>
      <c r="C74" s="5" t="s">
        <v>38</v>
      </c>
      <c r="D74" s="2" t="s">
        <v>56</v>
      </c>
      <c r="E74" s="1" t="s">
        <v>31</v>
      </c>
      <c r="F74" t="s">
        <v>61</v>
      </c>
      <c r="G74">
        <v>11</v>
      </c>
      <c r="H74">
        <v>5356803</v>
      </c>
      <c r="I74">
        <v>50.29</v>
      </c>
      <c r="J74">
        <v>124</v>
      </c>
      <c r="K74">
        <v>175</v>
      </c>
      <c r="L74">
        <v>5113</v>
      </c>
      <c r="M74">
        <v>188530</v>
      </c>
      <c r="N74">
        <v>0</v>
      </c>
      <c r="O74">
        <v>0</v>
      </c>
      <c r="P74">
        <v>1</v>
      </c>
      <c r="Q74">
        <v>1</v>
      </c>
      <c r="R74" t="s">
        <v>61</v>
      </c>
      <c r="S74" t="s">
        <v>61</v>
      </c>
      <c r="T74" t="s">
        <v>33</v>
      </c>
      <c r="U74" t="s">
        <v>34</v>
      </c>
      <c r="V74" t="s">
        <v>35</v>
      </c>
      <c r="W74">
        <v>1</v>
      </c>
      <c r="X74">
        <v>1</v>
      </c>
      <c r="Y74">
        <v>1</v>
      </c>
      <c r="Z74">
        <v>0</v>
      </c>
      <c r="AA74">
        <v>0</v>
      </c>
      <c r="AB74">
        <v>1</v>
      </c>
      <c r="AC74">
        <v>3</v>
      </c>
      <c r="AD74">
        <v>7</v>
      </c>
      <c r="AE74">
        <f t="shared" si="1"/>
        <v>3</v>
      </c>
    </row>
    <row r="75" spans="1:31" x14ac:dyDescent="0.3">
      <c r="A75" t="s">
        <v>124</v>
      </c>
      <c r="B75" s="5">
        <v>2008</v>
      </c>
      <c r="C75" s="5" t="s">
        <v>29</v>
      </c>
      <c r="D75" s="2" t="s">
        <v>56</v>
      </c>
      <c r="E75" s="1" t="s">
        <v>31</v>
      </c>
      <c r="F75" t="s">
        <v>32</v>
      </c>
      <c r="G75">
        <v>10466</v>
      </c>
      <c r="H75">
        <v>5409733</v>
      </c>
      <c r="I75">
        <v>50.25</v>
      </c>
      <c r="J75">
        <v>138</v>
      </c>
      <c r="K75">
        <v>157</v>
      </c>
      <c r="L75">
        <v>5183</v>
      </c>
      <c r="M75">
        <v>188306</v>
      </c>
      <c r="N75">
        <v>0</v>
      </c>
      <c r="O75">
        <v>0</v>
      </c>
      <c r="P75">
        <v>1</v>
      </c>
      <c r="Q75">
        <v>1</v>
      </c>
      <c r="R75" t="s">
        <v>32</v>
      </c>
      <c r="S75" t="s">
        <v>32</v>
      </c>
      <c r="T75" t="s">
        <v>33</v>
      </c>
      <c r="U75" t="s">
        <v>34</v>
      </c>
      <c r="V75" t="s">
        <v>35</v>
      </c>
      <c r="W75">
        <v>1</v>
      </c>
      <c r="X75">
        <v>1</v>
      </c>
      <c r="Y75">
        <v>1</v>
      </c>
      <c r="Z75">
        <v>0</v>
      </c>
      <c r="AA75">
        <v>1</v>
      </c>
      <c r="AB75">
        <v>0</v>
      </c>
      <c r="AC75">
        <v>1</v>
      </c>
      <c r="AD75">
        <v>1</v>
      </c>
      <c r="AE75">
        <f t="shared" si="1"/>
        <v>1</v>
      </c>
    </row>
    <row r="76" spans="1:31" x14ac:dyDescent="0.3">
      <c r="A76" t="s">
        <v>125</v>
      </c>
      <c r="B76" s="3">
        <v>2008</v>
      </c>
      <c r="C76" s="3" t="s">
        <v>38</v>
      </c>
      <c r="D76" s="9" t="s">
        <v>30</v>
      </c>
      <c r="E76" s="1" t="s">
        <v>31</v>
      </c>
      <c r="F76" t="s">
        <v>32</v>
      </c>
      <c r="G76">
        <v>11</v>
      </c>
      <c r="H76">
        <v>5454872</v>
      </c>
      <c r="I76">
        <v>50.12</v>
      </c>
      <c r="J76">
        <v>84</v>
      </c>
      <c r="K76">
        <v>147</v>
      </c>
      <c r="L76">
        <v>5221</v>
      </c>
      <c r="M76">
        <v>158586</v>
      </c>
      <c r="N76">
        <v>0</v>
      </c>
      <c r="O76">
        <v>0</v>
      </c>
      <c r="P76">
        <v>1</v>
      </c>
      <c r="Q76">
        <v>1</v>
      </c>
      <c r="R76" t="s">
        <v>32</v>
      </c>
      <c r="S76" t="s">
        <v>32</v>
      </c>
      <c r="T76" t="s">
        <v>33</v>
      </c>
      <c r="U76" t="s">
        <v>34</v>
      </c>
      <c r="V76" t="s">
        <v>35</v>
      </c>
      <c r="W76">
        <v>1</v>
      </c>
      <c r="X76">
        <v>1</v>
      </c>
      <c r="Y76">
        <v>1</v>
      </c>
      <c r="Z76">
        <v>0</v>
      </c>
      <c r="AA76">
        <v>1</v>
      </c>
      <c r="AB76">
        <v>0</v>
      </c>
      <c r="AC76">
        <v>1</v>
      </c>
      <c r="AD76">
        <v>2</v>
      </c>
      <c r="AE76">
        <f t="shared" si="1"/>
        <v>1</v>
      </c>
    </row>
    <row r="77" spans="1:31" x14ac:dyDescent="0.3">
      <c r="A77" t="s">
        <v>126</v>
      </c>
      <c r="B77" s="3">
        <v>2008</v>
      </c>
      <c r="C77" s="3" t="s">
        <v>38</v>
      </c>
      <c r="D77" s="9" t="s">
        <v>30</v>
      </c>
      <c r="E77" s="1" t="s">
        <v>31</v>
      </c>
      <c r="F77" t="s">
        <v>53</v>
      </c>
      <c r="G77">
        <v>11</v>
      </c>
      <c r="H77">
        <v>5367197</v>
      </c>
      <c r="I77">
        <v>50.25</v>
      </c>
      <c r="J77">
        <v>84</v>
      </c>
      <c r="K77">
        <v>134</v>
      </c>
      <c r="L77">
        <v>5111</v>
      </c>
      <c r="M77">
        <v>237850</v>
      </c>
      <c r="N77">
        <v>0</v>
      </c>
      <c r="O77">
        <v>0</v>
      </c>
      <c r="P77">
        <v>1</v>
      </c>
      <c r="Q77">
        <v>1</v>
      </c>
      <c r="R77" t="s">
        <v>53</v>
      </c>
      <c r="S77" t="s">
        <v>53</v>
      </c>
      <c r="T77" t="s">
        <v>33</v>
      </c>
      <c r="U77" t="s">
        <v>34</v>
      </c>
      <c r="V77" t="s">
        <v>35</v>
      </c>
      <c r="W77">
        <v>1</v>
      </c>
      <c r="X77">
        <v>1</v>
      </c>
      <c r="Y77">
        <v>1</v>
      </c>
      <c r="Z77">
        <v>0</v>
      </c>
      <c r="AA77">
        <v>0</v>
      </c>
      <c r="AB77">
        <v>1</v>
      </c>
      <c r="AC77">
        <v>3</v>
      </c>
      <c r="AD77">
        <v>9</v>
      </c>
      <c r="AE77">
        <f t="shared" si="1"/>
        <v>3</v>
      </c>
    </row>
    <row r="78" spans="1:31" x14ac:dyDescent="0.3">
      <c r="A78" t="s">
        <v>127</v>
      </c>
      <c r="B78" s="5">
        <v>2008</v>
      </c>
      <c r="C78" s="5" t="s">
        <v>29</v>
      </c>
      <c r="D78" s="2" t="s">
        <v>56</v>
      </c>
      <c r="E78" s="1" t="s">
        <v>31</v>
      </c>
      <c r="F78" t="s">
        <v>39</v>
      </c>
      <c r="G78">
        <v>11</v>
      </c>
      <c r="H78">
        <v>5405345</v>
      </c>
      <c r="I78">
        <v>50.2</v>
      </c>
      <c r="J78">
        <v>137</v>
      </c>
      <c r="K78">
        <v>144</v>
      </c>
      <c r="L78">
        <v>5168</v>
      </c>
      <c r="M78">
        <v>160335</v>
      </c>
      <c r="N78">
        <v>1</v>
      </c>
      <c r="O78">
        <v>1</v>
      </c>
      <c r="P78">
        <v>1</v>
      </c>
      <c r="Q78">
        <v>1</v>
      </c>
      <c r="R78" t="s">
        <v>39</v>
      </c>
      <c r="S78" t="s">
        <v>39</v>
      </c>
      <c r="T78" t="s">
        <v>33</v>
      </c>
      <c r="U78" t="s">
        <v>34</v>
      </c>
      <c r="V78" t="s">
        <v>35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2</v>
      </c>
      <c r="AD78">
        <v>5</v>
      </c>
      <c r="AE78">
        <f t="shared" si="1"/>
        <v>2</v>
      </c>
    </row>
    <row r="79" spans="1:31" x14ac:dyDescent="0.3">
      <c r="A79" t="s">
        <v>128</v>
      </c>
      <c r="B79" s="3">
        <v>2008</v>
      </c>
      <c r="C79" s="3" t="s">
        <v>29</v>
      </c>
      <c r="D79" s="9" t="s">
        <v>30</v>
      </c>
      <c r="E79" s="1" t="s">
        <v>31</v>
      </c>
      <c r="F79" t="s">
        <v>53</v>
      </c>
      <c r="G79">
        <v>11</v>
      </c>
      <c r="H79">
        <v>5347611</v>
      </c>
      <c r="I79">
        <v>50.28</v>
      </c>
      <c r="J79">
        <v>93</v>
      </c>
      <c r="K79">
        <v>113</v>
      </c>
      <c r="L79">
        <v>5077</v>
      </c>
      <c r="M79">
        <v>190247</v>
      </c>
      <c r="N79">
        <v>0</v>
      </c>
      <c r="O79">
        <v>0</v>
      </c>
      <c r="P79">
        <v>1</v>
      </c>
      <c r="Q79">
        <v>1</v>
      </c>
      <c r="R79" t="s">
        <v>53</v>
      </c>
      <c r="S79" t="s">
        <v>53</v>
      </c>
      <c r="T79" t="s">
        <v>33</v>
      </c>
      <c r="U79" t="s">
        <v>34</v>
      </c>
      <c r="V79" t="s">
        <v>35</v>
      </c>
      <c r="W79">
        <v>1</v>
      </c>
      <c r="X79">
        <v>1</v>
      </c>
      <c r="Y79">
        <v>1</v>
      </c>
      <c r="Z79">
        <v>0</v>
      </c>
      <c r="AA79">
        <v>0</v>
      </c>
      <c r="AB79">
        <v>1</v>
      </c>
      <c r="AC79">
        <v>3</v>
      </c>
      <c r="AD79">
        <v>9</v>
      </c>
      <c r="AE79">
        <f t="shared" si="1"/>
        <v>3</v>
      </c>
    </row>
    <row r="80" spans="1:31" x14ac:dyDescent="0.3">
      <c r="A80" t="s">
        <v>129</v>
      </c>
      <c r="B80" s="5">
        <v>2009</v>
      </c>
      <c r="C80" s="5" t="s">
        <v>38</v>
      </c>
      <c r="D80" s="2" t="s">
        <v>56</v>
      </c>
      <c r="E80" s="1" t="s">
        <v>31</v>
      </c>
      <c r="F80" t="s">
        <v>42</v>
      </c>
      <c r="G80">
        <v>11</v>
      </c>
      <c r="H80">
        <v>5389364</v>
      </c>
      <c r="I80">
        <v>50.25</v>
      </c>
      <c r="J80">
        <v>119</v>
      </c>
      <c r="K80">
        <v>151</v>
      </c>
      <c r="L80">
        <v>5122</v>
      </c>
      <c r="M80">
        <v>161130</v>
      </c>
      <c r="N80">
        <v>0</v>
      </c>
      <c r="O80">
        <v>0</v>
      </c>
      <c r="P80">
        <v>1</v>
      </c>
      <c r="Q80">
        <v>1</v>
      </c>
      <c r="R80" t="s">
        <v>42</v>
      </c>
      <c r="S80" t="s">
        <v>42</v>
      </c>
      <c r="T80" t="s">
        <v>33</v>
      </c>
      <c r="U80" t="s">
        <v>34</v>
      </c>
      <c r="V80" t="s">
        <v>35</v>
      </c>
      <c r="W80">
        <v>1</v>
      </c>
      <c r="X80">
        <v>1</v>
      </c>
      <c r="Y80">
        <v>1</v>
      </c>
      <c r="Z80">
        <v>0</v>
      </c>
      <c r="AA80">
        <v>0</v>
      </c>
      <c r="AB80">
        <v>1</v>
      </c>
      <c r="AC80">
        <v>3</v>
      </c>
      <c r="AD80">
        <v>9</v>
      </c>
      <c r="AE80">
        <f t="shared" si="1"/>
        <v>3</v>
      </c>
    </row>
    <row r="81" spans="1:31" x14ac:dyDescent="0.3">
      <c r="A81" t="s">
        <v>130</v>
      </c>
      <c r="B81" s="3">
        <v>2009</v>
      </c>
      <c r="C81" s="3" t="s">
        <v>29</v>
      </c>
      <c r="D81" s="9" t="s">
        <v>30</v>
      </c>
      <c r="E81" s="1" t="s">
        <v>31</v>
      </c>
      <c r="F81" t="s">
        <v>42</v>
      </c>
      <c r="G81">
        <v>11</v>
      </c>
      <c r="H81">
        <v>5379657</v>
      </c>
      <c r="I81">
        <v>50.26</v>
      </c>
      <c r="J81">
        <v>90</v>
      </c>
      <c r="K81">
        <v>150</v>
      </c>
      <c r="L81">
        <v>5122</v>
      </c>
      <c r="M81">
        <v>188530</v>
      </c>
      <c r="N81">
        <v>0</v>
      </c>
      <c r="O81">
        <v>0</v>
      </c>
      <c r="P81">
        <v>1</v>
      </c>
      <c r="Q81">
        <v>1</v>
      </c>
      <c r="R81" t="s">
        <v>42</v>
      </c>
      <c r="S81" t="s">
        <v>42</v>
      </c>
      <c r="T81" t="s">
        <v>33</v>
      </c>
      <c r="U81" t="s">
        <v>34</v>
      </c>
      <c r="V81" t="s">
        <v>35</v>
      </c>
      <c r="W81">
        <v>1</v>
      </c>
      <c r="X81">
        <v>1</v>
      </c>
      <c r="Y81">
        <v>1</v>
      </c>
      <c r="Z81">
        <v>0</v>
      </c>
      <c r="AA81">
        <v>0</v>
      </c>
      <c r="AB81">
        <v>1</v>
      </c>
      <c r="AC81">
        <v>3</v>
      </c>
      <c r="AD81">
        <v>7</v>
      </c>
      <c r="AE81">
        <f t="shared" si="1"/>
        <v>3</v>
      </c>
    </row>
    <row r="82" spans="1:31" x14ac:dyDescent="0.3">
      <c r="A82" t="s">
        <v>131</v>
      </c>
      <c r="B82" s="3">
        <v>2009</v>
      </c>
      <c r="C82" s="3" t="s">
        <v>38</v>
      </c>
      <c r="D82" s="9" t="s">
        <v>30</v>
      </c>
      <c r="E82" s="1" t="s">
        <v>31</v>
      </c>
      <c r="F82" t="s">
        <v>42</v>
      </c>
      <c r="G82">
        <v>11</v>
      </c>
      <c r="H82">
        <v>5368846</v>
      </c>
      <c r="I82">
        <v>50.28</v>
      </c>
      <c r="J82">
        <v>97</v>
      </c>
      <c r="K82">
        <v>131</v>
      </c>
      <c r="L82">
        <v>5119</v>
      </c>
      <c r="M82">
        <v>188530</v>
      </c>
      <c r="N82">
        <v>0</v>
      </c>
      <c r="O82">
        <v>0</v>
      </c>
      <c r="P82">
        <v>1</v>
      </c>
      <c r="Q82">
        <v>1</v>
      </c>
      <c r="R82" t="s">
        <v>42</v>
      </c>
      <c r="S82" t="s">
        <v>42</v>
      </c>
      <c r="T82" t="s">
        <v>33</v>
      </c>
      <c r="U82" t="s">
        <v>34</v>
      </c>
      <c r="V82" t="s">
        <v>35</v>
      </c>
      <c r="W82">
        <v>1</v>
      </c>
      <c r="X82">
        <v>1</v>
      </c>
      <c r="Y82">
        <v>1</v>
      </c>
      <c r="Z82">
        <v>0</v>
      </c>
      <c r="AA82">
        <v>0</v>
      </c>
      <c r="AB82">
        <v>1</v>
      </c>
      <c r="AC82">
        <v>3</v>
      </c>
      <c r="AD82">
        <v>8</v>
      </c>
      <c r="AE82">
        <f t="shared" si="1"/>
        <v>3</v>
      </c>
    </row>
    <row r="83" spans="1:31" x14ac:dyDescent="0.3">
      <c r="A83" t="s">
        <v>132</v>
      </c>
      <c r="B83" s="5">
        <v>2009</v>
      </c>
      <c r="C83" s="5" t="s">
        <v>29</v>
      </c>
      <c r="D83" s="2" t="s">
        <v>56</v>
      </c>
      <c r="E83" s="1" t="s">
        <v>31</v>
      </c>
      <c r="F83" t="s">
        <v>32</v>
      </c>
      <c r="G83">
        <v>11</v>
      </c>
      <c r="H83">
        <v>5414842</v>
      </c>
      <c r="I83">
        <v>50.26</v>
      </c>
      <c r="J83">
        <v>67</v>
      </c>
      <c r="K83">
        <v>143</v>
      </c>
      <c r="L83">
        <v>5191</v>
      </c>
      <c r="M83">
        <v>188948</v>
      </c>
      <c r="N83">
        <v>0</v>
      </c>
      <c r="O83">
        <v>0</v>
      </c>
      <c r="P83">
        <v>1</v>
      </c>
      <c r="Q83">
        <v>1</v>
      </c>
      <c r="R83" t="s">
        <v>32</v>
      </c>
      <c r="S83" t="s">
        <v>32</v>
      </c>
      <c r="T83" t="s">
        <v>33</v>
      </c>
      <c r="U83" t="s">
        <v>34</v>
      </c>
      <c r="V83" t="s">
        <v>35</v>
      </c>
      <c r="W83">
        <v>1</v>
      </c>
      <c r="X83">
        <v>1</v>
      </c>
      <c r="Y83">
        <v>1</v>
      </c>
      <c r="Z83">
        <v>0</v>
      </c>
      <c r="AA83">
        <v>1</v>
      </c>
      <c r="AB83">
        <v>0</v>
      </c>
      <c r="AC83">
        <v>1</v>
      </c>
      <c r="AD83">
        <v>1</v>
      </c>
      <c r="AE83">
        <f t="shared" si="1"/>
        <v>1</v>
      </c>
    </row>
    <row r="84" spans="1:31" x14ac:dyDescent="0.3">
      <c r="A84" t="s">
        <v>133</v>
      </c>
      <c r="B84" s="3">
        <v>2009</v>
      </c>
      <c r="C84" s="3" t="s">
        <v>38</v>
      </c>
      <c r="D84" s="9" t="s">
        <v>30</v>
      </c>
      <c r="E84" s="1" t="s">
        <v>31</v>
      </c>
      <c r="F84" t="s">
        <v>32</v>
      </c>
      <c r="G84">
        <v>11</v>
      </c>
      <c r="H84">
        <v>5446957</v>
      </c>
      <c r="I84">
        <v>50.16</v>
      </c>
      <c r="J84">
        <v>78</v>
      </c>
      <c r="K84">
        <v>135</v>
      </c>
      <c r="L84">
        <v>5225</v>
      </c>
      <c r="M84">
        <v>201723</v>
      </c>
      <c r="N84">
        <v>0</v>
      </c>
      <c r="O84">
        <v>0</v>
      </c>
      <c r="P84">
        <v>1</v>
      </c>
      <c r="Q84">
        <v>1</v>
      </c>
      <c r="R84" t="s">
        <v>32</v>
      </c>
      <c r="S84" t="s">
        <v>32</v>
      </c>
      <c r="T84" t="s">
        <v>33</v>
      </c>
      <c r="U84" t="s">
        <v>34</v>
      </c>
      <c r="V84" t="s">
        <v>35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1</v>
      </c>
      <c r="AD84">
        <v>1</v>
      </c>
      <c r="AE84">
        <f t="shared" si="1"/>
        <v>1</v>
      </c>
    </row>
    <row r="85" spans="1:31" x14ac:dyDescent="0.3">
      <c r="A85" t="s">
        <v>134</v>
      </c>
      <c r="B85" s="8">
        <v>2009</v>
      </c>
      <c r="C85" s="8" t="s">
        <v>29</v>
      </c>
      <c r="D85" s="2" t="s">
        <v>56</v>
      </c>
      <c r="E85" s="1" t="s">
        <v>31</v>
      </c>
      <c r="F85" t="s">
        <v>39</v>
      </c>
      <c r="G85">
        <v>11</v>
      </c>
      <c r="H85">
        <v>5399807</v>
      </c>
      <c r="I85">
        <v>50.17</v>
      </c>
      <c r="J85">
        <v>114</v>
      </c>
      <c r="K85">
        <v>133</v>
      </c>
      <c r="L85">
        <v>5143</v>
      </c>
      <c r="M85">
        <v>150182</v>
      </c>
      <c r="N85">
        <v>1</v>
      </c>
      <c r="O85">
        <v>1</v>
      </c>
      <c r="P85">
        <v>1</v>
      </c>
      <c r="Q85">
        <v>1</v>
      </c>
      <c r="R85" s="10" t="s">
        <v>39</v>
      </c>
      <c r="S85" s="10" t="s">
        <v>67</v>
      </c>
      <c r="T85" t="s">
        <v>33</v>
      </c>
      <c r="U85" t="s">
        <v>34</v>
      </c>
      <c r="V85" t="s">
        <v>35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2</v>
      </c>
      <c r="AD85">
        <v>4</v>
      </c>
      <c r="AE85">
        <f t="shared" si="1"/>
        <v>2</v>
      </c>
    </row>
    <row r="86" spans="1:31" x14ac:dyDescent="0.3">
      <c r="A86" t="s">
        <v>135</v>
      </c>
      <c r="B86" s="5">
        <v>2009</v>
      </c>
      <c r="C86" s="5" t="s">
        <v>38</v>
      </c>
      <c r="D86" s="2" t="s">
        <v>56</v>
      </c>
      <c r="E86" s="1" t="s">
        <v>31</v>
      </c>
      <c r="F86" t="s">
        <v>39</v>
      </c>
      <c r="G86">
        <v>11</v>
      </c>
      <c r="H86">
        <v>5331049</v>
      </c>
      <c r="I86">
        <v>50.28</v>
      </c>
      <c r="J86">
        <v>198</v>
      </c>
      <c r="K86">
        <v>153</v>
      </c>
      <c r="L86">
        <v>5066</v>
      </c>
      <c r="M86">
        <v>150862</v>
      </c>
      <c r="N86">
        <v>1</v>
      </c>
      <c r="O86">
        <v>1</v>
      </c>
      <c r="P86">
        <v>1</v>
      </c>
      <c r="Q86">
        <v>1</v>
      </c>
      <c r="R86" t="s">
        <v>39</v>
      </c>
      <c r="S86" t="s">
        <v>39</v>
      </c>
      <c r="T86" t="s">
        <v>33</v>
      </c>
      <c r="U86" t="s">
        <v>34</v>
      </c>
      <c r="V86" t="s">
        <v>35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2</v>
      </c>
      <c r="AD86">
        <v>5</v>
      </c>
      <c r="AE86">
        <f t="shared" si="1"/>
        <v>2</v>
      </c>
    </row>
    <row r="87" spans="1:31" x14ac:dyDescent="0.3">
      <c r="A87" t="s">
        <v>136</v>
      </c>
      <c r="B87" s="3">
        <v>2009</v>
      </c>
      <c r="C87" s="3" t="s">
        <v>38</v>
      </c>
      <c r="D87" s="9" t="s">
        <v>30</v>
      </c>
      <c r="E87" s="1" t="s">
        <v>31</v>
      </c>
      <c r="F87" t="s">
        <v>137</v>
      </c>
      <c r="G87">
        <v>11</v>
      </c>
      <c r="H87">
        <v>5384285</v>
      </c>
      <c r="I87">
        <v>50.29</v>
      </c>
      <c r="J87">
        <v>77</v>
      </c>
      <c r="K87">
        <v>136</v>
      </c>
      <c r="L87">
        <v>5129</v>
      </c>
      <c r="M87">
        <v>188388</v>
      </c>
      <c r="N87">
        <v>1</v>
      </c>
      <c r="O87">
        <v>1</v>
      </c>
      <c r="P87">
        <v>1</v>
      </c>
      <c r="Q87">
        <v>1</v>
      </c>
      <c r="R87" s="10" t="s">
        <v>137</v>
      </c>
      <c r="S87" s="10" t="s">
        <v>39</v>
      </c>
      <c r="T87" t="s">
        <v>33</v>
      </c>
      <c r="U87" t="s">
        <v>34</v>
      </c>
      <c r="V87" t="s">
        <v>35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2</v>
      </c>
      <c r="AD87">
        <v>4</v>
      </c>
      <c r="AE87">
        <f t="shared" si="1"/>
        <v>2</v>
      </c>
    </row>
    <row r="88" spans="1:31" x14ac:dyDescent="0.3">
      <c r="A88" t="s">
        <v>138</v>
      </c>
      <c r="B88" s="5">
        <v>2009</v>
      </c>
      <c r="C88" s="5" t="s">
        <v>38</v>
      </c>
      <c r="D88" s="2" t="s">
        <v>56</v>
      </c>
      <c r="E88" s="1" t="s">
        <v>31</v>
      </c>
      <c r="F88" t="s">
        <v>32</v>
      </c>
      <c r="G88">
        <v>11</v>
      </c>
      <c r="H88">
        <v>5399658</v>
      </c>
      <c r="I88">
        <v>50.25</v>
      </c>
      <c r="J88">
        <v>105</v>
      </c>
      <c r="K88">
        <v>158</v>
      </c>
      <c r="L88">
        <v>5160</v>
      </c>
      <c r="M88">
        <v>146987</v>
      </c>
      <c r="N88">
        <v>0</v>
      </c>
      <c r="O88">
        <v>0</v>
      </c>
      <c r="P88">
        <v>1</v>
      </c>
      <c r="Q88">
        <v>1</v>
      </c>
      <c r="R88" t="s">
        <v>32</v>
      </c>
      <c r="S88" t="s">
        <v>32</v>
      </c>
      <c r="T88" t="s">
        <v>33</v>
      </c>
      <c r="U88" t="s">
        <v>34</v>
      </c>
      <c r="V88" t="s">
        <v>35</v>
      </c>
      <c r="W88">
        <v>1</v>
      </c>
      <c r="X88">
        <v>1</v>
      </c>
      <c r="Y88">
        <v>1</v>
      </c>
      <c r="Z88">
        <v>0</v>
      </c>
      <c r="AA88">
        <v>1</v>
      </c>
      <c r="AB88">
        <v>0</v>
      </c>
      <c r="AC88">
        <v>1</v>
      </c>
      <c r="AD88">
        <v>3</v>
      </c>
      <c r="AE88">
        <f t="shared" si="1"/>
        <v>1</v>
      </c>
    </row>
    <row r="89" spans="1:31" x14ac:dyDescent="0.3">
      <c r="A89" t="s">
        <v>139</v>
      </c>
      <c r="B89" s="5">
        <v>2009</v>
      </c>
      <c r="C89" s="5" t="s">
        <v>29</v>
      </c>
      <c r="D89" s="2" t="s">
        <v>56</v>
      </c>
      <c r="E89" s="1" t="s">
        <v>31</v>
      </c>
      <c r="F89" t="s">
        <v>42</v>
      </c>
      <c r="G89">
        <v>11</v>
      </c>
      <c r="H89">
        <v>5395793</v>
      </c>
      <c r="I89">
        <v>50.17</v>
      </c>
      <c r="J89">
        <v>113</v>
      </c>
      <c r="K89">
        <v>154</v>
      </c>
      <c r="L89">
        <v>5143</v>
      </c>
      <c r="M89">
        <v>244562</v>
      </c>
      <c r="N89">
        <v>0</v>
      </c>
      <c r="O89">
        <v>0</v>
      </c>
      <c r="P89">
        <v>1</v>
      </c>
      <c r="Q89">
        <v>1</v>
      </c>
      <c r="R89" t="s">
        <v>42</v>
      </c>
      <c r="S89" t="s">
        <v>42</v>
      </c>
      <c r="T89" t="s">
        <v>33</v>
      </c>
      <c r="U89" t="s">
        <v>34</v>
      </c>
      <c r="V89" t="s">
        <v>35</v>
      </c>
      <c r="W89">
        <v>1</v>
      </c>
      <c r="X89">
        <v>1</v>
      </c>
      <c r="Y89">
        <v>1</v>
      </c>
      <c r="Z89">
        <v>0</v>
      </c>
      <c r="AA89">
        <v>0</v>
      </c>
      <c r="AB89">
        <v>1</v>
      </c>
      <c r="AC89">
        <v>3</v>
      </c>
      <c r="AD89">
        <v>8</v>
      </c>
      <c r="AE89">
        <f t="shared" si="1"/>
        <v>3</v>
      </c>
    </row>
    <row r="90" spans="1:31" x14ac:dyDescent="0.3">
      <c r="A90" t="s">
        <v>140</v>
      </c>
      <c r="B90" s="5">
        <v>2010</v>
      </c>
      <c r="C90" s="5" t="s">
        <v>38</v>
      </c>
      <c r="D90" s="2" t="s">
        <v>56</v>
      </c>
      <c r="E90" s="1" t="s">
        <v>31</v>
      </c>
      <c r="F90" t="s">
        <v>39</v>
      </c>
      <c r="G90">
        <v>11</v>
      </c>
      <c r="H90">
        <v>5334442</v>
      </c>
      <c r="I90">
        <v>50.28</v>
      </c>
      <c r="J90">
        <v>187</v>
      </c>
      <c r="K90">
        <v>154</v>
      </c>
      <c r="L90">
        <v>5064</v>
      </c>
      <c r="M90">
        <v>160335</v>
      </c>
      <c r="N90">
        <v>1</v>
      </c>
      <c r="O90">
        <v>1</v>
      </c>
      <c r="P90">
        <v>1</v>
      </c>
      <c r="Q90">
        <v>1</v>
      </c>
      <c r="R90" s="10" t="s">
        <v>39</v>
      </c>
      <c r="S90" s="10" t="s">
        <v>67</v>
      </c>
      <c r="T90" t="s">
        <v>33</v>
      </c>
      <c r="U90" t="s">
        <v>34</v>
      </c>
      <c r="V90" t="s">
        <v>35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2</v>
      </c>
      <c r="AD90">
        <v>5</v>
      </c>
      <c r="AE90">
        <f t="shared" si="1"/>
        <v>2</v>
      </c>
    </row>
    <row r="91" spans="1:31" x14ac:dyDescent="0.3">
      <c r="A91" t="s">
        <v>141</v>
      </c>
      <c r="B91" s="5">
        <v>2010</v>
      </c>
      <c r="C91" s="5" t="s">
        <v>29</v>
      </c>
      <c r="D91" s="2" t="s">
        <v>56</v>
      </c>
      <c r="E91" s="1" t="s">
        <v>31</v>
      </c>
      <c r="F91" t="s">
        <v>39</v>
      </c>
      <c r="G91">
        <v>11</v>
      </c>
      <c r="H91">
        <v>5334408</v>
      </c>
      <c r="I91">
        <v>50.27</v>
      </c>
      <c r="J91">
        <v>85</v>
      </c>
      <c r="K91">
        <v>131</v>
      </c>
      <c r="L91">
        <v>5068</v>
      </c>
      <c r="M91">
        <v>150824</v>
      </c>
      <c r="N91">
        <v>1</v>
      </c>
      <c r="O91">
        <v>1</v>
      </c>
      <c r="P91">
        <v>1</v>
      </c>
      <c r="Q91">
        <v>1</v>
      </c>
      <c r="R91" t="s">
        <v>39</v>
      </c>
      <c r="S91" t="s">
        <v>39</v>
      </c>
      <c r="T91" t="s">
        <v>33</v>
      </c>
      <c r="U91" t="s">
        <v>34</v>
      </c>
      <c r="V91" t="s">
        <v>35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2</v>
      </c>
      <c r="AD91">
        <v>4</v>
      </c>
      <c r="AE91">
        <f t="shared" si="1"/>
        <v>2</v>
      </c>
    </row>
    <row r="92" spans="1:31" x14ac:dyDescent="0.3">
      <c r="A92" t="s">
        <v>142</v>
      </c>
      <c r="B92" s="7">
        <v>2010</v>
      </c>
      <c r="C92" s="7" t="s">
        <v>38</v>
      </c>
      <c r="D92" s="7" t="s">
        <v>56</v>
      </c>
      <c r="E92" s="1" t="s">
        <v>31</v>
      </c>
      <c r="F92" t="s">
        <v>143</v>
      </c>
      <c r="G92">
        <v>11</v>
      </c>
      <c r="H92">
        <v>5422339</v>
      </c>
      <c r="I92">
        <v>50.17</v>
      </c>
      <c r="J92">
        <v>106</v>
      </c>
      <c r="K92">
        <v>138</v>
      </c>
      <c r="L92">
        <v>5174</v>
      </c>
      <c r="M92">
        <v>183826</v>
      </c>
      <c r="N92">
        <v>0</v>
      </c>
      <c r="O92">
        <v>0</v>
      </c>
      <c r="P92">
        <v>1</v>
      </c>
      <c r="Q92">
        <v>1</v>
      </c>
      <c r="R92" s="10" t="s">
        <v>143</v>
      </c>
      <c r="S92" s="10" t="s">
        <v>144</v>
      </c>
      <c r="T92" t="s">
        <v>33</v>
      </c>
      <c r="U92" t="s">
        <v>34</v>
      </c>
      <c r="V92" t="s">
        <v>35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4</v>
      </c>
      <c r="AD92">
        <v>11</v>
      </c>
      <c r="AE92">
        <f t="shared" si="1"/>
        <v>3</v>
      </c>
    </row>
    <row r="93" spans="1:31" x14ac:dyDescent="0.3">
      <c r="A93" t="s">
        <v>145</v>
      </c>
      <c r="B93" s="5">
        <v>2010</v>
      </c>
      <c r="C93" s="5" t="s">
        <v>29</v>
      </c>
      <c r="D93" s="2" t="s">
        <v>56</v>
      </c>
      <c r="E93" s="1" t="s">
        <v>31</v>
      </c>
      <c r="F93" t="s">
        <v>80</v>
      </c>
      <c r="G93">
        <v>11</v>
      </c>
      <c r="H93">
        <v>5333137</v>
      </c>
      <c r="I93">
        <v>50.25</v>
      </c>
      <c r="J93">
        <v>34</v>
      </c>
      <c r="K93">
        <v>191</v>
      </c>
      <c r="L93">
        <v>5054</v>
      </c>
      <c r="M93">
        <v>170456</v>
      </c>
      <c r="N93">
        <v>0</v>
      </c>
      <c r="O93">
        <v>0</v>
      </c>
      <c r="P93">
        <v>1</v>
      </c>
      <c r="Q93">
        <v>0</v>
      </c>
      <c r="R93" s="10" t="s">
        <v>80</v>
      </c>
      <c r="S93" s="10" t="s">
        <v>146</v>
      </c>
      <c r="T93" t="s">
        <v>33</v>
      </c>
      <c r="U93" t="s">
        <v>34</v>
      </c>
      <c r="V93" t="s">
        <v>35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3</v>
      </c>
      <c r="AD93">
        <v>10</v>
      </c>
      <c r="AE93">
        <f t="shared" si="1"/>
        <v>3</v>
      </c>
    </row>
    <row r="94" spans="1:31" x14ac:dyDescent="0.3">
      <c r="A94" t="s">
        <v>147</v>
      </c>
      <c r="B94" s="3">
        <v>2010</v>
      </c>
      <c r="C94" s="3" t="s">
        <v>38</v>
      </c>
      <c r="D94" s="9" t="s">
        <v>30</v>
      </c>
      <c r="E94" s="1" t="s">
        <v>31</v>
      </c>
      <c r="F94" t="s">
        <v>39</v>
      </c>
      <c r="G94">
        <v>11</v>
      </c>
      <c r="H94">
        <v>5307840</v>
      </c>
      <c r="I94">
        <v>50.29</v>
      </c>
      <c r="J94">
        <v>139</v>
      </c>
      <c r="K94">
        <v>129</v>
      </c>
      <c r="L94">
        <v>5034</v>
      </c>
      <c r="M94">
        <v>160335</v>
      </c>
      <c r="N94">
        <v>1</v>
      </c>
      <c r="O94">
        <v>1</v>
      </c>
      <c r="P94">
        <v>1</v>
      </c>
      <c r="Q94">
        <v>1</v>
      </c>
      <c r="R94" t="s">
        <v>39</v>
      </c>
      <c r="S94" t="s">
        <v>39</v>
      </c>
      <c r="T94" t="s">
        <v>33</v>
      </c>
      <c r="U94" t="s">
        <v>34</v>
      </c>
      <c r="V94" t="s">
        <v>35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2</v>
      </c>
      <c r="AD94">
        <v>5</v>
      </c>
      <c r="AE94">
        <f t="shared" si="1"/>
        <v>2</v>
      </c>
    </row>
    <row r="95" spans="1:31" x14ac:dyDescent="0.3">
      <c r="A95" t="s">
        <v>148</v>
      </c>
      <c r="B95" s="5">
        <v>2010</v>
      </c>
      <c r="C95" s="5" t="s">
        <v>38</v>
      </c>
      <c r="D95" s="2" t="s">
        <v>56</v>
      </c>
      <c r="E95" s="1" t="s">
        <v>31</v>
      </c>
      <c r="F95" t="s">
        <v>32</v>
      </c>
      <c r="G95">
        <v>11</v>
      </c>
      <c r="H95">
        <v>5397880</v>
      </c>
      <c r="I95">
        <v>50.25</v>
      </c>
      <c r="J95">
        <v>153</v>
      </c>
      <c r="K95">
        <v>151</v>
      </c>
      <c r="L95">
        <v>5163</v>
      </c>
      <c r="M95">
        <v>147389</v>
      </c>
      <c r="N95">
        <v>0</v>
      </c>
      <c r="O95">
        <v>0</v>
      </c>
      <c r="P95">
        <v>1</v>
      </c>
      <c r="Q95">
        <v>1</v>
      </c>
      <c r="R95" t="s">
        <v>32</v>
      </c>
      <c r="S95" t="s">
        <v>32</v>
      </c>
      <c r="T95" t="s">
        <v>33</v>
      </c>
      <c r="U95" t="s">
        <v>34</v>
      </c>
      <c r="V95" t="s">
        <v>35</v>
      </c>
      <c r="W95">
        <v>1</v>
      </c>
      <c r="X95">
        <v>1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f t="shared" si="1"/>
        <v>1</v>
      </c>
    </row>
    <row r="96" spans="1:31" x14ac:dyDescent="0.3">
      <c r="A96" t="s">
        <v>149</v>
      </c>
      <c r="B96" s="7">
        <v>2010</v>
      </c>
      <c r="C96" s="7" t="s">
        <v>29</v>
      </c>
      <c r="D96" s="9" t="s">
        <v>56</v>
      </c>
      <c r="E96" s="1" t="s">
        <v>31</v>
      </c>
      <c r="F96" t="s">
        <v>150</v>
      </c>
      <c r="G96">
        <v>10467</v>
      </c>
      <c r="H96">
        <v>5854111</v>
      </c>
      <c r="I96">
        <v>50.1</v>
      </c>
      <c r="J96">
        <v>106</v>
      </c>
      <c r="K96">
        <v>180</v>
      </c>
      <c r="L96">
        <v>5692</v>
      </c>
      <c r="M96">
        <v>146496</v>
      </c>
      <c r="N96">
        <v>1</v>
      </c>
      <c r="O96">
        <v>1</v>
      </c>
      <c r="P96">
        <v>1</v>
      </c>
      <c r="Q96">
        <v>1</v>
      </c>
      <c r="R96" t="s">
        <v>150</v>
      </c>
      <c r="S96" t="s">
        <v>150</v>
      </c>
      <c r="T96" t="s">
        <v>33</v>
      </c>
      <c r="U96" t="s">
        <v>34</v>
      </c>
      <c r="V96" t="s">
        <v>35</v>
      </c>
      <c r="W96">
        <v>1</v>
      </c>
      <c r="X96">
        <v>1</v>
      </c>
      <c r="Y96">
        <v>1</v>
      </c>
      <c r="Z96">
        <v>1</v>
      </c>
      <c r="AA96">
        <v>0</v>
      </c>
      <c r="AB96">
        <v>1</v>
      </c>
      <c r="AC96">
        <v>4</v>
      </c>
      <c r="AD96">
        <v>12</v>
      </c>
      <c r="AE96">
        <f t="shared" si="1"/>
        <v>3</v>
      </c>
    </row>
    <row r="97" spans="1:31" x14ac:dyDescent="0.3">
      <c r="A97" t="s">
        <v>151</v>
      </c>
      <c r="B97" s="5">
        <v>2010</v>
      </c>
      <c r="C97" s="5" t="s">
        <v>29</v>
      </c>
      <c r="D97" s="2" t="s">
        <v>56</v>
      </c>
      <c r="E97" s="1" t="s">
        <v>31</v>
      </c>
      <c r="F97" t="s">
        <v>32</v>
      </c>
      <c r="G97">
        <v>11</v>
      </c>
      <c r="H97">
        <v>5528855</v>
      </c>
      <c r="I97">
        <v>50.26</v>
      </c>
      <c r="J97">
        <v>79</v>
      </c>
      <c r="K97">
        <v>156</v>
      </c>
      <c r="L97">
        <v>5329</v>
      </c>
      <c r="M97">
        <v>181247</v>
      </c>
      <c r="N97">
        <v>0</v>
      </c>
      <c r="O97">
        <v>0</v>
      </c>
      <c r="P97">
        <v>1</v>
      </c>
      <c r="Q97">
        <v>1</v>
      </c>
      <c r="R97" t="s">
        <v>32</v>
      </c>
      <c r="S97" t="s">
        <v>32</v>
      </c>
      <c r="T97" t="s">
        <v>33</v>
      </c>
      <c r="U97" t="s">
        <v>34</v>
      </c>
      <c r="V97" t="s">
        <v>35</v>
      </c>
      <c r="W97">
        <v>1</v>
      </c>
      <c r="X97">
        <v>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1</v>
      </c>
      <c r="AE97">
        <f t="shared" si="1"/>
        <v>1</v>
      </c>
    </row>
    <row r="98" spans="1:31" x14ac:dyDescent="0.3">
      <c r="A98" t="s">
        <v>152</v>
      </c>
      <c r="B98" s="7">
        <v>2010</v>
      </c>
      <c r="C98" s="7" t="s">
        <v>29</v>
      </c>
      <c r="D98" s="7" t="s">
        <v>56</v>
      </c>
      <c r="E98" s="1" t="s">
        <v>31</v>
      </c>
      <c r="F98" t="s">
        <v>53</v>
      </c>
      <c r="G98">
        <v>11</v>
      </c>
      <c r="H98">
        <v>5378528</v>
      </c>
      <c r="I98">
        <v>50.26</v>
      </c>
      <c r="J98">
        <v>89</v>
      </c>
      <c r="K98">
        <v>136</v>
      </c>
      <c r="L98">
        <v>5110</v>
      </c>
      <c r="M98">
        <v>239325</v>
      </c>
      <c r="N98">
        <v>0</v>
      </c>
      <c r="O98">
        <v>0</v>
      </c>
      <c r="P98">
        <v>1</v>
      </c>
      <c r="Q98">
        <v>1</v>
      </c>
      <c r="R98" t="s">
        <v>53</v>
      </c>
      <c r="S98" t="s">
        <v>53</v>
      </c>
      <c r="T98" t="s">
        <v>33</v>
      </c>
      <c r="U98" t="s">
        <v>34</v>
      </c>
      <c r="V98" t="s">
        <v>35</v>
      </c>
      <c r="W98">
        <v>1</v>
      </c>
      <c r="X98">
        <v>1</v>
      </c>
      <c r="Y98">
        <v>1</v>
      </c>
      <c r="Z98">
        <v>0</v>
      </c>
      <c r="AA98">
        <v>0</v>
      </c>
      <c r="AB98">
        <v>1</v>
      </c>
      <c r="AC98">
        <v>3</v>
      </c>
      <c r="AD98">
        <v>9</v>
      </c>
      <c r="AE98">
        <f t="shared" si="1"/>
        <v>3</v>
      </c>
    </row>
    <row r="99" spans="1:31" x14ac:dyDescent="0.3">
      <c r="A99" t="s">
        <v>153</v>
      </c>
      <c r="B99" s="3">
        <v>2010</v>
      </c>
      <c r="C99" s="3" t="s">
        <v>38</v>
      </c>
      <c r="D99" s="9" t="s">
        <v>30</v>
      </c>
      <c r="E99" s="1" t="s">
        <v>31</v>
      </c>
      <c r="F99" t="s">
        <v>32</v>
      </c>
      <c r="G99">
        <v>11</v>
      </c>
      <c r="H99">
        <v>5414590</v>
      </c>
      <c r="I99">
        <v>50.25</v>
      </c>
      <c r="J99">
        <v>90</v>
      </c>
      <c r="K99">
        <v>135</v>
      </c>
      <c r="L99">
        <v>5188</v>
      </c>
      <c r="M99">
        <v>188306</v>
      </c>
      <c r="N99">
        <v>0</v>
      </c>
      <c r="O99">
        <v>0</v>
      </c>
      <c r="P99">
        <v>1</v>
      </c>
      <c r="Q99">
        <v>1</v>
      </c>
      <c r="R99" t="s">
        <v>32</v>
      </c>
      <c r="S99" t="s">
        <v>32</v>
      </c>
      <c r="T99" t="s">
        <v>33</v>
      </c>
      <c r="U99" t="s">
        <v>34</v>
      </c>
      <c r="V99" t="s">
        <v>35</v>
      </c>
      <c r="W99">
        <v>1</v>
      </c>
      <c r="X99">
        <v>1</v>
      </c>
      <c r="Y99">
        <v>1</v>
      </c>
      <c r="Z99">
        <v>0</v>
      </c>
      <c r="AA99">
        <v>1</v>
      </c>
      <c r="AB99">
        <v>0</v>
      </c>
      <c r="AC99">
        <v>1</v>
      </c>
      <c r="AD99">
        <v>1</v>
      </c>
      <c r="AE99">
        <f t="shared" si="1"/>
        <v>1</v>
      </c>
    </row>
    <row r="100" spans="1:31" x14ac:dyDescent="0.3">
      <c r="A100" t="s">
        <v>154</v>
      </c>
      <c r="B100" s="3">
        <v>2011</v>
      </c>
      <c r="C100" s="3" t="s">
        <v>29</v>
      </c>
      <c r="D100" s="9" t="s">
        <v>30</v>
      </c>
      <c r="E100" s="1" t="s">
        <v>31</v>
      </c>
      <c r="F100" t="s">
        <v>42</v>
      </c>
      <c r="G100">
        <v>11</v>
      </c>
      <c r="H100">
        <v>5389933</v>
      </c>
      <c r="I100">
        <v>50.24</v>
      </c>
      <c r="J100">
        <v>96</v>
      </c>
      <c r="K100">
        <v>155</v>
      </c>
      <c r="L100">
        <v>5141</v>
      </c>
      <c r="M100">
        <v>188963</v>
      </c>
      <c r="N100">
        <v>0</v>
      </c>
      <c r="O100">
        <v>0</v>
      </c>
      <c r="P100">
        <v>1</v>
      </c>
      <c r="Q100">
        <v>1</v>
      </c>
      <c r="R100" t="s">
        <v>42</v>
      </c>
      <c r="S100" t="s">
        <v>42</v>
      </c>
      <c r="T100" t="s">
        <v>33</v>
      </c>
      <c r="U100" t="s">
        <v>34</v>
      </c>
      <c r="V100" t="s">
        <v>35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3</v>
      </c>
      <c r="AD100">
        <v>10</v>
      </c>
      <c r="AE100">
        <f t="shared" si="1"/>
        <v>3</v>
      </c>
    </row>
    <row r="101" spans="1:31" x14ac:dyDescent="0.3">
      <c r="A101" t="s">
        <v>155</v>
      </c>
      <c r="B101" s="5">
        <v>2011</v>
      </c>
      <c r="C101" s="5" t="s">
        <v>29</v>
      </c>
      <c r="D101" s="2" t="s">
        <v>56</v>
      </c>
      <c r="E101" s="1" t="s">
        <v>31</v>
      </c>
      <c r="F101" t="s">
        <v>32</v>
      </c>
      <c r="G101">
        <v>11</v>
      </c>
      <c r="H101">
        <v>5359232</v>
      </c>
      <c r="I101">
        <v>50.25</v>
      </c>
      <c r="J101">
        <v>154</v>
      </c>
      <c r="K101">
        <v>161</v>
      </c>
      <c r="L101">
        <v>5093</v>
      </c>
      <c r="M101">
        <v>180355</v>
      </c>
      <c r="N101">
        <v>0</v>
      </c>
      <c r="O101">
        <v>0</v>
      </c>
      <c r="P101">
        <v>1</v>
      </c>
      <c r="Q101">
        <v>1</v>
      </c>
      <c r="R101" t="s">
        <v>32</v>
      </c>
      <c r="S101" t="s">
        <v>32</v>
      </c>
      <c r="T101" t="s">
        <v>33</v>
      </c>
      <c r="U101" t="s">
        <v>34</v>
      </c>
      <c r="V101" t="s">
        <v>35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1</v>
      </c>
      <c r="AE101">
        <f t="shared" si="1"/>
        <v>1</v>
      </c>
    </row>
    <row r="102" spans="1:31" x14ac:dyDescent="0.3">
      <c r="A102" t="s">
        <v>156</v>
      </c>
      <c r="B102" s="5">
        <v>2011</v>
      </c>
      <c r="C102" s="5" t="s">
        <v>38</v>
      </c>
      <c r="D102" s="2" t="s">
        <v>56</v>
      </c>
      <c r="E102" s="1" t="s">
        <v>31</v>
      </c>
      <c r="F102" t="s">
        <v>32</v>
      </c>
      <c r="G102">
        <v>11</v>
      </c>
      <c r="H102">
        <v>5408634</v>
      </c>
      <c r="I102">
        <v>50.25</v>
      </c>
      <c r="J102">
        <v>154</v>
      </c>
      <c r="K102">
        <v>175</v>
      </c>
      <c r="L102">
        <v>5175</v>
      </c>
      <c r="M102">
        <v>180605</v>
      </c>
      <c r="N102">
        <v>0</v>
      </c>
      <c r="O102">
        <v>0</v>
      </c>
      <c r="P102">
        <v>1</v>
      </c>
      <c r="Q102">
        <v>1</v>
      </c>
      <c r="R102" t="s">
        <v>32</v>
      </c>
      <c r="S102" t="s">
        <v>32</v>
      </c>
      <c r="T102" t="s">
        <v>33</v>
      </c>
      <c r="U102" t="s">
        <v>34</v>
      </c>
      <c r="V102" t="s">
        <v>35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1</v>
      </c>
      <c r="AE102">
        <f t="shared" si="1"/>
        <v>1</v>
      </c>
    </row>
    <row r="103" spans="1:31" x14ac:dyDescent="0.3">
      <c r="A103" t="s">
        <v>157</v>
      </c>
      <c r="B103" s="5">
        <v>2011</v>
      </c>
      <c r="C103" s="5" t="s">
        <v>29</v>
      </c>
      <c r="D103" s="2" t="s">
        <v>56</v>
      </c>
      <c r="E103" s="1" t="s">
        <v>31</v>
      </c>
      <c r="F103" t="s">
        <v>39</v>
      </c>
      <c r="G103">
        <v>11</v>
      </c>
      <c r="H103">
        <v>5488857</v>
      </c>
      <c r="I103">
        <v>50.29</v>
      </c>
      <c r="J103">
        <v>104</v>
      </c>
      <c r="K103">
        <v>153</v>
      </c>
      <c r="L103">
        <v>5250</v>
      </c>
      <c r="M103">
        <v>160335</v>
      </c>
      <c r="N103">
        <v>1</v>
      </c>
      <c r="O103">
        <v>1</v>
      </c>
      <c r="P103">
        <v>1</v>
      </c>
      <c r="Q103">
        <v>1</v>
      </c>
      <c r="R103" s="10" t="s">
        <v>39</v>
      </c>
      <c r="S103" s="10" t="s">
        <v>67</v>
      </c>
      <c r="T103" t="s">
        <v>33</v>
      </c>
      <c r="U103" t="s">
        <v>34</v>
      </c>
      <c r="V103" t="s">
        <v>35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2</v>
      </c>
      <c r="AD103">
        <v>5</v>
      </c>
      <c r="AE103">
        <f t="shared" si="1"/>
        <v>2</v>
      </c>
    </row>
    <row r="104" spans="1:31" x14ac:dyDescent="0.3">
      <c r="A104" t="s">
        <v>158</v>
      </c>
      <c r="B104" s="5">
        <v>2011</v>
      </c>
      <c r="C104" s="5" t="s">
        <v>29</v>
      </c>
      <c r="D104" s="2" t="s">
        <v>56</v>
      </c>
      <c r="E104" s="1" t="s">
        <v>31</v>
      </c>
      <c r="F104" t="s">
        <v>42</v>
      </c>
      <c r="G104">
        <v>11</v>
      </c>
      <c r="H104">
        <v>5355444</v>
      </c>
      <c r="I104">
        <v>50.26</v>
      </c>
      <c r="J104">
        <v>161</v>
      </c>
      <c r="K104">
        <v>164</v>
      </c>
      <c r="L104">
        <v>5080</v>
      </c>
      <c r="M104">
        <v>236144</v>
      </c>
      <c r="N104">
        <v>0</v>
      </c>
      <c r="O104">
        <v>0</v>
      </c>
      <c r="P104">
        <v>1</v>
      </c>
      <c r="Q104">
        <v>1</v>
      </c>
      <c r="R104" t="s">
        <v>42</v>
      </c>
      <c r="S104" t="s">
        <v>42</v>
      </c>
      <c r="T104" t="s">
        <v>33</v>
      </c>
      <c r="U104" t="s">
        <v>34</v>
      </c>
      <c r="V104" t="s">
        <v>35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1</v>
      </c>
      <c r="AC104">
        <v>3</v>
      </c>
      <c r="AD104">
        <v>9</v>
      </c>
      <c r="AE104">
        <f t="shared" si="1"/>
        <v>3</v>
      </c>
    </row>
    <row r="105" spans="1:31" x14ac:dyDescent="0.3">
      <c r="A105" t="s">
        <v>159</v>
      </c>
      <c r="B105" s="3">
        <v>2011</v>
      </c>
      <c r="C105" s="3" t="s">
        <v>29</v>
      </c>
      <c r="D105" s="9" t="s">
        <v>30</v>
      </c>
      <c r="E105" s="1" t="s">
        <v>31</v>
      </c>
      <c r="F105" t="s">
        <v>39</v>
      </c>
      <c r="G105">
        <v>11</v>
      </c>
      <c r="H105">
        <v>5360193</v>
      </c>
      <c r="I105">
        <v>50.29</v>
      </c>
      <c r="J105">
        <v>77</v>
      </c>
      <c r="K105">
        <v>133</v>
      </c>
      <c r="L105">
        <v>5108</v>
      </c>
      <c r="M105">
        <v>188105</v>
      </c>
      <c r="N105">
        <v>1</v>
      </c>
      <c r="O105">
        <v>1</v>
      </c>
      <c r="P105">
        <v>1</v>
      </c>
      <c r="Q105">
        <v>1</v>
      </c>
      <c r="R105" t="s">
        <v>39</v>
      </c>
      <c r="S105" t="s">
        <v>39</v>
      </c>
      <c r="T105" t="s">
        <v>33</v>
      </c>
      <c r="U105" t="s">
        <v>34</v>
      </c>
      <c r="V105" t="s">
        <v>35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2</v>
      </c>
      <c r="AD105">
        <v>4</v>
      </c>
      <c r="AE105">
        <f t="shared" si="1"/>
        <v>2</v>
      </c>
    </row>
    <row r="106" spans="1:31" x14ac:dyDescent="0.3">
      <c r="A106" t="s">
        <v>160</v>
      </c>
      <c r="B106" s="3">
        <v>2011</v>
      </c>
      <c r="C106" s="3" t="s">
        <v>38</v>
      </c>
      <c r="D106" s="9" t="s">
        <v>30</v>
      </c>
      <c r="E106" s="1" t="s">
        <v>31</v>
      </c>
      <c r="F106" t="s">
        <v>39</v>
      </c>
      <c r="G106">
        <v>11</v>
      </c>
      <c r="H106">
        <v>5352547</v>
      </c>
      <c r="I106">
        <v>50.27</v>
      </c>
      <c r="J106">
        <v>88</v>
      </c>
      <c r="K106">
        <v>132</v>
      </c>
      <c r="L106">
        <v>5097</v>
      </c>
      <c r="M106">
        <v>160335</v>
      </c>
      <c r="N106">
        <v>1</v>
      </c>
      <c r="O106">
        <v>1</v>
      </c>
      <c r="P106">
        <v>1</v>
      </c>
      <c r="Q106">
        <v>1</v>
      </c>
      <c r="R106" t="s">
        <v>39</v>
      </c>
      <c r="S106" t="s">
        <v>39</v>
      </c>
      <c r="T106" t="s">
        <v>33</v>
      </c>
      <c r="U106" t="s">
        <v>34</v>
      </c>
      <c r="V106" t="s">
        <v>35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2</v>
      </c>
      <c r="AD106">
        <v>5</v>
      </c>
      <c r="AE106">
        <f t="shared" si="1"/>
        <v>2</v>
      </c>
    </row>
    <row r="107" spans="1:31" x14ac:dyDescent="0.3">
      <c r="A107" t="s">
        <v>161</v>
      </c>
      <c r="B107" s="5">
        <v>2011</v>
      </c>
      <c r="C107" s="5" t="s">
        <v>38</v>
      </c>
      <c r="D107" s="2" t="s">
        <v>56</v>
      </c>
      <c r="E107" s="1" t="s">
        <v>31</v>
      </c>
      <c r="F107" t="s">
        <v>39</v>
      </c>
      <c r="G107">
        <v>11</v>
      </c>
      <c r="H107">
        <v>5442472</v>
      </c>
      <c r="I107">
        <v>50.3</v>
      </c>
      <c r="J107">
        <v>200</v>
      </c>
      <c r="K107">
        <v>154</v>
      </c>
      <c r="L107">
        <v>5201</v>
      </c>
      <c r="M107">
        <v>160335</v>
      </c>
      <c r="N107">
        <v>1</v>
      </c>
      <c r="O107">
        <v>1</v>
      </c>
      <c r="P107">
        <v>1</v>
      </c>
      <c r="Q107">
        <v>1</v>
      </c>
      <c r="R107" t="s">
        <v>39</v>
      </c>
      <c r="S107" t="s">
        <v>39</v>
      </c>
      <c r="T107" t="s">
        <v>33</v>
      </c>
      <c r="U107" t="s">
        <v>34</v>
      </c>
      <c r="V107" t="s">
        <v>35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2</v>
      </c>
      <c r="AD107">
        <v>5</v>
      </c>
      <c r="AE107">
        <f t="shared" si="1"/>
        <v>2</v>
      </c>
    </row>
    <row r="108" spans="1:31" x14ac:dyDescent="0.3">
      <c r="A108" t="s">
        <v>162</v>
      </c>
      <c r="B108" s="3">
        <v>2011</v>
      </c>
      <c r="C108" s="3" t="s">
        <v>38</v>
      </c>
      <c r="D108" s="9" t="s">
        <v>30</v>
      </c>
      <c r="E108" s="1" t="s">
        <v>31</v>
      </c>
      <c r="F108" t="s">
        <v>32</v>
      </c>
      <c r="G108">
        <v>11</v>
      </c>
      <c r="H108">
        <v>5400262</v>
      </c>
      <c r="I108">
        <v>50.26</v>
      </c>
      <c r="J108">
        <v>70</v>
      </c>
      <c r="K108">
        <v>145</v>
      </c>
      <c r="L108">
        <v>5176</v>
      </c>
      <c r="M108">
        <v>187934</v>
      </c>
      <c r="N108">
        <v>0</v>
      </c>
      <c r="O108">
        <v>0</v>
      </c>
      <c r="P108">
        <v>1</v>
      </c>
      <c r="Q108">
        <v>1</v>
      </c>
      <c r="R108" t="s">
        <v>32</v>
      </c>
      <c r="S108" t="s">
        <v>32</v>
      </c>
      <c r="T108" t="s">
        <v>33</v>
      </c>
      <c r="U108" t="s">
        <v>34</v>
      </c>
      <c r="V108" t="s">
        <v>35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3</v>
      </c>
      <c r="AE108">
        <f t="shared" si="1"/>
        <v>1</v>
      </c>
    </row>
    <row r="109" spans="1:31" x14ac:dyDescent="0.3">
      <c r="A109" t="s">
        <v>163</v>
      </c>
      <c r="B109" s="5">
        <v>2011</v>
      </c>
      <c r="C109" s="5" t="s">
        <v>38</v>
      </c>
      <c r="D109" s="2" t="s">
        <v>56</v>
      </c>
      <c r="E109" s="1" t="s">
        <v>31</v>
      </c>
      <c r="F109" t="s">
        <v>42</v>
      </c>
      <c r="G109">
        <v>11</v>
      </c>
      <c r="H109">
        <v>5572999</v>
      </c>
      <c r="I109">
        <v>50.3</v>
      </c>
      <c r="J109">
        <v>84</v>
      </c>
      <c r="K109">
        <v>238</v>
      </c>
      <c r="L109">
        <v>5330</v>
      </c>
      <c r="M109">
        <v>73402</v>
      </c>
      <c r="N109">
        <v>0</v>
      </c>
      <c r="O109">
        <v>0</v>
      </c>
      <c r="P109">
        <v>1</v>
      </c>
      <c r="Q109">
        <v>1</v>
      </c>
      <c r="R109" t="s">
        <v>42</v>
      </c>
      <c r="S109" t="s">
        <v>42</v>
      </c>
      <c r="T109" t="s">
        <v>33</v>
      </c>
      <c r="U109" t="s">
        <v>34</v>
      </c>
      <c r="V109" t="s">
        <v>35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3</v>
      </c>
      <c r="AD109">
        <v>7</v>
      </c>
      <c r="AE109">
        <f t="shared" si="1"/>
        <v>3</v>
      </c>
    </row>
    <row r="110" spans="1:31" x14ac:dyDescent="0.3">
      <c r="A110" t="s">
        <v>164</v>
      </c>
      <c r="B110" s="7">
        <v>2011</v>
      </c>
      <c r="C110" s="7" t="s">
        <v>29</v>
      </c>
      <c r="D110" s="7" t="s">
        <v>56</v>
      </c>
      <c r="E110" s="1" t="s">
        <v>31</v>
      </c>
      <c r="F110" t="s">
        <v>165</v>
      </c>
      <c r="G110">
        <v>11</v>
      </c>
      <c r="H110">
        <v>5457478</v>
      </c>
      <c r="I110">
        <v>50.18</v>
      </c>
      <c r="J110">
        <v>51</v>
      </c>
      <c r="K110">
        <v>169</v>
      </c>
      <c r="L110">
        <v>5231</v>
      </c>
      <c r="M110">
        <v>148206</v>
      </c>
      <c r="N110">
        <v>1</v>
      </c>
      <c r="O110">
        <v>1</v>
      </c>
      <c r="P110">
        <v>1</v>
      </c>
      <c r="Q110">
        <v>1</v>
      </c>
      <c r="R110" t="s">
        <v>165</v>
      </c>
      <c r="S110" t="s">
        <v>165</v>
      </c>
      <c r="T110" t="s">
        <v>33</v>
      </c>
      <c r="U110" t="s">
        <v>34</v>
      </c>
      <c r="V110" t="s">
        <v>35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2</v>
      </c>
      <c r="AD110">
        <v>4</v>
      </c>
      <c r="AE110">
        <f t="shared" si="1"/>
        <v>2</v>
      </c>
    </row>
    <row r="111" spans="1:31" x14ac:dyDescent="0.3">
      <c r="A111" t="s">
        <v>166</v>
      </c>
      <c r="B111" s="5">
        <v>2012</v>
      </c>
      <c r="C111" s="5" t="s">
        <v>29</v>
      </c>
      <c r="D111" s="2" t="s">
        <v>56</v>
      </c>
      <c r="E111" s="1" t="s">
        <v>31</v>
      </c>
      <c r="F111" t="s">
        <v>39</v>
      </c>
      <c r="G111">
        <v>11</v>
      </c>
      <c r="H111">
        <v>5342681</v>
      </c>
      <c r="I111">
        <v>50.27</v>
      </c>
      <c r="J111">
        <v>129</v>
      </c>
      <c r="K111">
        <v>144</v>
      </c>
      <c r="L111">
        <v>5093</v>
      </c>
      <c r="M111">
        <v>151170</v>
      </c>
      <c r="N111">
        <v>1</v>
      </c>
      <c r="O111">
        <v>1</v>
      </c>
      <c r="P111">
        <v>1</v>
      </c>
      <c r="Q111">
        <v>1</v>
      </c>
      <c r="R111" s="10" t="s">
        <v>39</v>
      </c>
      <c r="S111" s="10" t="s">
        <v>67</v>
      </c>
      <c r="T111" t="s">
        <v>33</v>
      </c>
      <c r="U111" t="s">
        <v>34</v>
      </c>
      <c r="V111" t="s">
        <v>35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2</v>
      </c>
      <c r="AD111">
        <v>5</v>
      </c>
      <c r="AE111">
        <f t="shared" si="1"/>
        <v>2</v>
      </c>
    </row>
    <row r="112" spans="1:31" x14ac:dyDescent="0.3">
      <c r="A112" t="s">
        <v>167</v>
      </c>
      <c r="B112" s="7">
        <v>2012</v>
      </c>
      <c r="C112" s="7" t="s">
        <v>38</v>
      </c>
      <c r="D112" s="7" t="s">
        <v>56</v>
      </c>
      <c r="E112" s="1" t="s">
        <v>31</v>
      </c>
      <c r="F112" t="s">
        <v>32</v>
      </c>
      <c r="G112">
        <v>11</v>
      </c>
      <c r="H112">
        <v>5430495</v>
      </c>
      <c r="I112">
        <v>50.25</v>
      </c>
      <c r="J112">
        <v>135</v>
      </c>
      <c r="K112">
        <v>141</v>
      </c>
      <c r="L112">
        <v>5200</v>
      </c>
      <c r="M112">
        <v>183735</v>
      </c>
      <c r="N112">
        <v>0</v>
      </c>
      <c r="O112">
        <v>0</v>
      </c>
      <c r="P112">
        <v>1</v>
      </c>
      <c r="Q112">
        <v>1</v>
      </c>
      <c r="R112" t="s">
        <v>32</v>
      </c>
      <c r="S112" t="s">
        <v>32</v>
      </c>
      <c r="T112" t="s">
        <v>33</v>
      </c>
      <c r="U112" t="s">
        <v>34</v>
      </c>
      <c r="V112" t="s">
        <v>35</v>
      </c>
      <c r="W112">
        <v>1</v>
      </c>
      <c r="X112">
        <v>1</v>
      </c>
      <c r="Y112">
        <v>1</v>
      </c>
      <c r="Z112">
        <v>0</v>
      </c>
      <c r="AA112">
        <v>1</v>
      </c>
      <c r="AB112">
        <v>0</v>
      </c>
      <c r="AC112">
        <v>1</v>
      </c>
      <c r="AD112">
        <v>1</v>
      </c>
      <c r="AE112">
        <f t="shared" si="1"/>
        <v>1</v>
      </c>
    </row>
    <row r="113" spans="1:31" x14ac:dyDescent="0.3">
      <c r="A113" t="s">
        <v>168</v>
      </c>
      <c r="B113" s="5">
        <v>2012</v>
      </c>
      <c r="C113" s="5" t="s">
        <v>38</v>
      </c>
      <c r="D113" s="2" t="s">
        <v>56</v>
      </c>
      <c r="E113" s="1" t="s">
        <v>31</v>
      </c>
      <c r="F113" t="s">
        <v>39</v>
      </c>
      <c r="G113">
        <v>11</v>
      </c>
      <c r="H113">
        <v>5344937</v>
      </c>
      <c r="I113">
        <v>50.27</v>
      </c>
      <c r="J113">
        <v>165</v>
      </c>
      <c r="K113">
        <v>145</v>
      </c>
      <c r="L113">
        <v>5091</v>
      </c>
      <c r="M113">
        <v>151170</v>
      </c>
      <c r="N113">
        <v>1</v>
      </c>
      <c r="O113">
        <v>1</v>
      </c>
      <c r="P113">
        <v>1</v>
      </c>
      <c r="Q113">
        <v>1</v>
      </c>
      <c r="R113" s="10" t="s">
        <v>39</v>
      </c>
      <c r="S113" s="10" t="s">
        <v>67</v>
      </c>
      <c r="T113" t="s">
        <v>33</v>
      </c>
      <c r="U113" t="s">
        <v>34</v>
      </c>
      <c r="V113" t="s">
        <v>35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2</v>
      </c>
      <c r="AD113">
        <v>5</v>
      </c>
      <c r="AE113">
        <f t="shared" si="1"/>
        <v>2</v>
      </c>
    </row>
    <row r="114" spans="1:31" x14ac:dyDescent="0.3">
      <c r="A114" t="s">
        <v>169</v>
      </c>
      <c r="B114" s="5">
        <v>2012</v>
      </c>
      <c r="C114" s="5" t="s">
        <v>29</v>
      </c>
      <c r="D114" s="2" t="s">
        <v>56</v>
      </c>
      <c r="E114" s="1" t="s">
        <v>31</v>
      </c>
      <c r="F114" t="s">
        <v>32</v>
      </c>
      <c r="G114">
        <v>11</v>
      </c>
      <c r="H114">
        <v>5391790</v>
      </c>
      <c r="I114">
        <v>50.26</v>
      </c>
      <c r="J114">
        <v>143</v>
      </c>
      <c r="K114">
        <v>170</v>
      </c>
      <c r="L114">
        <v>5154</v>
      </c>
      <c r="M114">
        <v>188306</v>
      </c>
      <c r="N114">
        <v>0</v>
      </c>
      <c r="O114">
        <v>0</v>
      </c>
      <c r="P114">
        <v>1</v>
      </c>
      <c r="Q114">
        <v>1</v>
      </c>
      <c r="R114" t="s">
        <v>32</v>
      </c>
      <c r="S114" t="s">
        <v>32</v>
      </c>
      <c r="T114" t="s">
        <v>33</v>
      </c>
      <c r="U114" t="s">
        <v>34</v>
      </c>
      <c r="V114" t="s">
        <v>35</v>
      </c>
      <c r="W114">
        <v>1</v>
      </c>
      <c r="X114">
        <v>1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1</v>
      </c>
      <c r="AE114">
        <f t="shared" si="1"/>
        <v>1</v>
      </c>
    </row>
    <row r="115" spans="1:31" x14ac:dyDescent="0.3">
      <c r="A115" t="s">
        <v>170</v>
      </c>
      <c r="B115" s="8">
        <v>2012</v>
      </c>
      <c r="C115" s="8" t="s">
        <v>29</v>
      </c>
      <c r="D115" s="2" t="s">
        <v>56</v>
      </c>
      <c r="E115" s="1" t="s">
        <v>31</v>
      </c>
      <c r="F115" t="s">
        <v>42</v>
      </c>
      <c r="G115">
        <v>11</v>
      </c>
      <c r="H115">
        <v>5394001</v>
      </c>
      <c r="I115">
        <v>50.25</v>
      </c>
      <c r="J115">
        <v>103</v>
      </c>
      <c r="K115">
        <v>148</v>
      </c>
      <c r="L115">
        <v>5153</v>
      </c>
      <c r="M115">
        <v>188530</v>
      </c>
      <c r="N115">
        <v>0</v>
      </c>
      <c r="O115">
        <v>0</v>
      </c>
      <c r="P115">
        <v>1</v>
      </c>
      <c r="Q115">
        <v>1</v>
      </c>
      <c r="R115" t="s">
        <v>42</v>
      </c>
      <c r="S115" t="s">
        <v>42</v>
      </c>
      <c r="T115" t="s">
        <v>33</v>
      </c>
      <c r="U115" t="s">
        <v>34</v>
      </c>
      <c r="V115" t="s">
        <v>35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3</v>
      </c>
      <c r="AD115">
        <v>7</v>
      </c>
      <c r="AE115">
        <f t="shared" si="1"/>
        <v>3</v>
      </c>
    </row>
    <row r="116" spans="1:31" x14ac:dyDescent="0.3">
      <c r="A116" t="s">
        <v>171</v>
      </c>
      <c r="B116" s="5">
        <v>2012</v>
      </c>
      <c r="C116" s="5" t="s">
        <v>38</v>
      </c>
      <c r="D116" s="2" t="s">
        <v>56</v>
      </c>
      <c r="E116" s="1" t="s">
        <v>31</v>
      </c>
      <c r="F116" t="s">
        <v>42</v>
      </c>
      <c r="G116">
        <v>11</v>
      </c>
      <c r="H116">
        <v>5388781</v>
      </c>
      <c r="I116">
        <v>50.24</v>
      </c>
      <c r="J116">
        <v>125</v>
      </c>
      <c r="K116">
        <v>168</v>
      </c>
      <c r="L116">
        <v>5131</v>
      </c>
      <c r="M116">
        <v>211432</v>
      </c>
      <c r="N116">
        <v>0</v>
      </c>
      <c r="O116">
        <v>0</v>
      </c>
      <c r="P116">
        <v>1</v>
      </c>
      <c r="Q116">
        <v>1</v>
      </c>
      <c r="R116" t="s">
        <v>42</v>
      </c>
      <c r="S116" t="s">
        <v>42</v>
      </c>
      <c r="T116" t="s">
        <v>33</v>
      </c>
      <c r="U116" t="s">
        <v>34</v>
      </c>
      <c r="V116" t="s">
        <v>35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3</v>
      </c>
      <c r="AD116">
        <v>7</v>
      </c>
      <c r="AE116">
        <f t="shared" si="1"/>
        <v>3</v>
      </c>
    </row>
    <row r="117" spans="1:31" x14ac:dyDescent="0.3">
      <c r="A117" t="s">
        <v>172</v>
      </c>
      <c r="B117" s="7">
        <v>2012</v>
      </c>
      <c r="C117" s="7" t="s">
        <v>29</v>
      </c>
      <c r="D117" s="9" t="s">
        <v>56</v>
      </c>
      <c r="E117" s="1" t="s">
        <v>31</v>
      </c>
      <c r="F117" t="s">
        <v>58</v>
      </c>
      <c r="G117">
        <v>11</v>
      </c>
      <c r="H117">
        <v>5287033</v>
      </c>
      <c r="I117">
        <v>50.28</v>
      </c>
      <c r="J117">
        <v>98</v>
      </c>
      <c r="K117">
        <v>137</v>
      </c>
      <c r="L117">
        <v>5007</v>
      </c>
      <c r="M117">
        <v>159929</v>
      </c>
      <c r="N117">
        <v>1</v>
      </c>
      <c r="O117">
        <v>1</v>
      </c>
      <c r="P117">
        <v>0</v>
      </c>
      <c r="Q117">
        <v>0</v>
      </c>
      <c r="R117" s="11" t="s">
        <v>58</v>
      </c>
      <c r="S117" s="11" t="s">
        <v>59</v>
      </c>
      <c r="T117" t="s">
        <v>33</v>
      </c>
      <c r="U117" t="s">
        <v>34</v>
      </c>
      <c r="V117" t="s">
        <v>35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0</v>
      </c>
      <c r="AC117">
        <v>2</v>
      </c>
      <c r="AD117">
        <v>4</v>
      </c>
      <c r="AE117">
        <f t="shared" si="1"/>
        <v>2</v>
      </c>
    </row>
    <row r="118" spans="1:31" x14ac:dyDescent="0.3">
      <c r="A118" t="s">
        <v>173</v>
      </c>
      <c r="B118" s="2">
        <v>2010</v>
      </c>
      <c r="C118" s="2" t="s">
        <v>29</v>
      </c>
      <c r="D118" s="2" t="s">
        <v>30</v>
      </c>
      <c r="E118" s="1" t="s">
        <v>31</v>
      </c>
      <c r="F118" t="s">
        <v>42</v>
      </c>
      <c r="G118">
        <v>11</v>
      </c>
      <c r="H118">
        <v>5385279</v>
      </c>
      <c r="I118">
        <v>50.26</v>
      </c>
      <c r="J118">
        <v>118</v>
      </c>
      <c r="K118">
        <v>167</v>
      </c>
      <c r="L118">
        <v>5114</v>
      </c>
      <c r="M118">
        <v>163226</v>
      </c>
      <c r="N118">
        <v>0</v>
      </c>
      <c r="O118">
        <v>0</v>
      </c>
      <c r="P118">
        <v>1</v>
      </c>
      <c r="Q118">
        <v>1</v>
      </c>
      <c r="R118" t="s">
        <v>42</v>
      </c>
      <c r="S118" t="s">
        <v>42</v>
      </c>
      <c r="T118" t="s">
        <v>33</v>
      </c>
      <c r="U118" t="s">
        <v>34</v>
      </c>
      <c r="V118" t="s">
        <v>35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1</v>
      </c>
      <c r="AC118">
        <v>3</v>
      </c>
      <c r="AD118">
        <v>10</v>
      </c>
      <c r="AE118">
        <f t="shared" si="1"/>
        <v>3</v>
      </c>
    </row>
    <row r="119" spans="1:31" x14ac:dyDescent="0.3">
      <c r="A119" t="s">
        <v>174</v>
      </c>
      <c r="B119" s="3">
        <v>2012</v>
      </c>
      <c r="C119" s="3" t="s">
        <v>38</v>
      </c>
      <c r="D119" s="9" t="s">
        <v>30</v>
      </c>
      <c r="E119" s="1" t="s">
        <v>31</v>
      </c>
      <c r="F119" t="s">
        <v>137</v>
      </c>
      <c r="G119">
        <v>11</v>
      </c>
      <c r="H119">
        <v>5426104</v>
      </c>
      <c r="I119">
        <v>50.27</v>
      </c>
      <c r="J119">
        <v>84</v>
      </c>
      <c r="K119">
        <v>141</v>
      </c>
      <c r="L119">
        <v>5183</v>
      </c>
      <c r="M119">
        <v>160335</v>
      </c>
      <c r="N119">
        <v>1</v>
      </c>
      <c r="O119">
        <v>1</v>
      </c>
      <c r="P119">
        <v>0</v>
      </c>
      <c r="Q119">
        <v>0</v>
      </c>
      <c r="R119" s="11" t="s">
        <v>137</v>
      </c>
      <c r="S119" s="11" t="s">
        <v>175</v>
      </c>
      <c r="T119" t="s">
        <v>33</v>
      </c>
      <c r="U119" t="s">
        <v>34</v>
      </c>
      <c r="V119" t="s">
        <v>35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2</v>
      </c>
      <c r="AD119">
        <v>5</v>
      </c>
      <c r="AE119">
        <f t="shared" si="1"/>
        <v>2</v>
      </c>
    </row>
    <row r="120" spans="1:31" x14ac:dyDescent="0.3">
      <c r="A120" t="s">
        <v>176</v>
      </c>
      <c r="B120" s="3">
        <v>2012</v>
      </c>
      <c r="C120" s="3" t="s">
        <v>29</v>
      </c>
      <c r="D120" s="9" t="s">
        <v>30</v>
      </c>
      <c r="E120" s="1" t="s">
        <v>31</v>
      </c>
      <c r="F120" t="s">
        <v>39</v>
      </c>
      <c r="G120">
        <v>11</v>
      </c>
      <c r="H120">
        <v>5329584</v>
      </c>
      <c r="I120">
        <v>50.27</v>
      </c>
      <c r="J120">
        <v>81</v>
      </c>
      <c r="K120">
        <v>127</v>
      </c>
      <c r="L120">
        <v>5073</v>
      </c>
      <c r="M120">
        <v>189180</v>
      </c>
      <c r="N120">
        <v>1</v>
      </c>
      <c r="O120">
        <v>1</v>
      </c>
      <c r="P120">
        <v>1</v>
      </c>
      <c r="Q120">
        <v>1</v>
      </c>
      <c r="R120" s="10" t="s">
        <v>39</v>
      </c>
      <c r="S120" s="10" t="s">
        <v>67</v>
      </c>
      <c r="T120" t="s">
        <v>33</v>
      </c>
      <c r="U120" t="s">
        <v>34</v>
      </c>
      <c r="V120" t="s">
        <v>35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2</v>
      </c>
      <c r="AD120">
        <v>4</v>
      </c>
      <c r="AE120">
        <f t="shared" si="1"/>
        <v>2</v>
      </c>
    </row>
    <row r="121" spans="1:31" x14ac:dyDescent="0.3">
      <c r="A121" t="s">
        <v>177</v>
      </c>
      <c r="B121" s="3">
        <v>2012</v>
      </c>
      <c r="C121" s="3" t="s">
        <v>29</v>
      </c>
      <c r="D121" s="9" t="s">
        <v>30</v>
      </c>
      <c r="E121" s="1" t="s">
        <v>31</v>
      </c>
      <c r="F121" t="s">
        <v>42</v>
      </c>
      <c r="G121">
        <v>11</v>
      </c>
      <c r="H121">
        <v>5321828</v>
      </c>
      <c r="I121">
        <v>50.26</v>
      </c>
      <c r="J121">
        <v>78</v>
      </c>
      <c r="K121">
        <v>129</v>
      </c>
      <c r="L121">
        <v>5050</v>
      </c>
      <c r="M121">
        <v>188965</v>
      </c>
      <c r="N121">
        <v>0</v>
      </c>
      <c r="O121">
        <v>0</v>
      </c>
      <c r="P121">
        <v>1</v>
      </c>
      <c r="Q121">
        <v>1</v>
      </c>
      <c r="R121" t="s">
        <v>42</v>
      </c>
      <c r="S121" t="s">
        <v>42</v>
      </c>
      <c r="T121" t="s">
        <v>33</v>
      </c>
      <c r="U121" t="s">
        <v>34</v>
      </c>
      <c r="V121" t="s">
        <v>35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3</v>
      </c>
      <c r="AD121">
        <v>10</v>
      </c>
      <c r="AE121">
        <f t="shared" si="1"/>
        <v>3</v>
      </c>
    </row>
    <row r="122" spans="1:31" x14ac:dyDescent="0.3">
      <c r="A122" t="s">
        <v>178</v>
      </c>
      <c r="B122" s="3">
        <v>2012</v>
      </c>
      <c r="C122" s="3" t="s">
        <v>38</v>
      </c>
      <c r="D122" s="9" t="s">
        <v>30</v>
      </c>
      <c r="E122" s="1" t="s">
        <v>31</v>
      </c>
      <c r="F122" t="s">
        <v>32</v>
      </c>
      <c r="G122">
        <v>11</v>
      </c>
      <c r="H122">
        <v>5427252</v>
      </c>
      <c r="I122">
        <v>50.27</v>
      </c>
      <c r="J122">
        <v>82</v>
      </c>
      <c r="K122">
        <v>159</v>
      </c>
      <c r="L122">
        <v>5199</v>
      </c>
      <c r="M122">
        <v>190970</v>
      </c>
      <c r="N122">
        <v>0</v>
      </c>
      <c r="O122">
        <v>0</v>
      </c>
      <c r="P122">
        <v>1</v>
      </c>
      <c r="Q122">
        <v>1</v>
      </c>
      <c r="R122" t="s">
        <v>32</v>
      </c>
      <c r="S122" t="s">
        <v>32</v>
      </c>
      <c r="T122" t="s">
        <v>33</v>
      </c>
      <c r="U122" t="s">
        <v>34</v>
      </c>
      <c r="V122" t="s">
        <v>35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2</v>
      </c>
      <c r="AE122">
        <f t="shared" si="1"/>
        <v>1</v>
      </c>
    </row>
    <row r="123" spans="1:31" x14ac:dyDescent="0.3">
      <c r="A123" t="s">
        <v>179</v>
      </c>
      <c r="B123" s="3">
        <v>2012</v>
      </c>
      <c r="C123" s="3" t="s">
        <v>29</v>
      </c>
      <c r="D123" s="9" t="s">
        <v>30</v>
      </c>
      <c r="E123" s="1" t="s">
        <v>31</v>
      </c>
      <c r="F123" t="s">
        <v>32</v>
      </c>
      <c r="G123">
        <v>11</v>
      </c>
      <c r="H123">
        <v>5468326</v>
      </c>
      <c r="I123">
        <v>50.28</v>
      </c>
      <c r="J123">
        <v>78</v>
      </c>
      <c r="K123">
        <v>160</v>
      </c>
      <c r="L123">
        <v>5248</v>
      </c>
      <c r="M123">
        <v>183735</v>
      </c>
      <c r="N123">
        <v>0</v>
      </c>
      <c r="O123">
        <v>0</v>
      </c>
      <c r="P123">
        <v>1</v>
      </c>
      <c r="Q123">
        <v>1</v>
      </c>
      <c r="R123" t="s">
        <v>32</v>
      </c>
      <c r="S123" t="s">
        <v>32</v>
      </c>
      <c r="T123" t="s">
        <v>33</v>
      </c>
      <c r="U123" t="s">
        <v>34</v>
      </c>
      <c r="V123" t="s">
        <v>35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1</v>
      </c>
      <c r="AE123">
        <f t="shared" si="1"/>
        <v>1</v>
      </c>
    </row>
    <row r="124" spans="1:31" x14ac:dyDescent="0.3">
      <c r="A124" t="s">
        <v>180</v>
      </c>
      <c r="B124" s="3">
        <v>2012</v>
      </c>
      <c r="C124" s="3" t="s">
        <v>38</v>
      </c>
      <c r="D124" s="9" t="s">
        <v>30</v>
      </c>
      <c r="E124" s="1" t="s">
        <v>31</v>
      </c>
      <c r="F124" t="s">
        <v>42</v>
      </c>
      <c r="G124">
        <v>10468</v>
      </c>
      <c r="H124">
        <v>5388945</v>
      </c>
      <c r="I124">
        <v>50.23</v>
      </c>
      <c r="J124">
        <v>89</v>
      </c>
      <c r="K124">
        <v>156</v>
      </c>
      <c r="L124">
        <v>5136</v>
      </c>
      <c r="M124">
        <v>188530</v>
      </c>
      <c r="N124">
        <v>0</v>
      </c>
      <c r="O124">
        <v>0</v>
      </c>
      <c r="P124">
        <v>1</v>
      </c>
      <c r="Q124">
        <v>1</v>
      </c>
      <c r="R124" t="s">
        <v>42</v>
      </c>
      <c r="S124" t="s">
        <v>42</v>
      </c>
      <c r="T124" t="s">
        <v>33</v>
      </c>
      <c r="U124" t="s">
        <v>34</v>
      </c>
      <c r="V124" t="s">
        <v>35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1</v>
      </c>
      <c r="AC124">
        <v>3</v>
      </c>
      <c r="AD124">
        <v>7</v>
      </c>
      <c r="AE124">
        <f t="shared" si="1"/>
        <v>3</v>
      </c>
    </row>
    <row r="125" spans="1:31" x14ac:dyDescent="0.3">
      <c r="A125" t="s">
        <v>181</v>
      </c>
      <c r="B125" s="6">
        <v>2013</v>
      </c>
      <c r="C125" s="6" t="s">
        <v>29</v>
      </c>
      <c r="D125" s="6" t="s">
        <v>56</v>
      </c>
      <c r="E125" s="1" t="s">
        <v>31</v>
      </c>
      <c r="F125" t="s">
        <v>39</v>
      </c>
      <c r="G125">
        <v>11</v>
      </c>
      <c r="H125">
        <v>5312096</v>
      </c>
      <c r="I125">
        <v>50.26</v>
      </c>
      <c r="J125">
        <v>129</v>
      </c>
      <c r="K125">
        <v>129</v>
      </c>
      <c r="L125">
        <v>5049</v>
      </c>
      <c r="M125">
        <v>160335</v>
      </c>
      <c r="N125">
        <v>1</v>
      </c>
      <c r="O125">
        <v>1</v>
      </c>
      <c r="P125">
        <v>1</v>
      </c>
      <c r="Q125">
        <v>1</v>
      </c>
      <c r="R125" t="s">
        <v>39</v>
      </c>
      <c r="S125" t="s">
        <v>39</v>
      </c>
      <c r="T125" t="s">
        <v>33</v>
      </c>
      <c r="U125" t="s">
        <v>34</v>
      </c>
      <c r="V125" t="s">
        <v>35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2</v>
      </c>
      <c r="AD125">
        <v>4</v>
      </c>
      <c r="AE125">
        <f t="shared" si="1"/>
        <v>2</v>
      </c>
    </row>
    <row r="126" spans="1:31" x14ac:dyDescent="0.3">
      <c r="A126" t="s">
        <v>182</v>
      </c>
      <c r="B126" s="6">
        <v>2013</v>
      </c>
      <c r="C126" s="6" t="s">
        <v>29</v>
      </c>
      <c r="D126" s="6" t="s">
        <v>56</v>
      </c>
      <c r="E126" s="1" t="s">
        <v>31</v>
      </c>
      <c r="F126" t="s">
        <v>32</v>
      </c>
      <c r="G126">
        <v>11</v>
      </c>
      <c r="H126">
        <v>5411282</v>
      </c>
      <c r="I126">
        <v>50.25</v>
      </c>
      <c r="J126">
        <v>118</v>
      </c>
      <c r="K126">
        <v>145</v>
      </c>
      <c r="L126">
        <v>5177</v>
      </c>
      <c r="M126">
        <v>157471</v>
      </c>
      <c r="N126">
        <v>0</v>
      </c>
      <c r="O126">
        <v>0</v>
      </c>
      <c r="P126">
        <v>1</v>
      </c>
      <c r="Q126">
        <v>1</v>
      </c>
      <c r="R126" t="s">
        <v>32</v>
      </c>
      <c r="S126" t="s">
        <v>32</v>
      </c>
      <c r="T126" t="s">
        <v>33</v>
      </c>
      <c r="U126" t="s">
        <v>34</v>
      </c>
      <c r="V126" t="s">
        <v>35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3</v>
      </c>
      <c r="AE126">
        <f t="shared" si="1"/>
        <v>1</v>
      </c>
    </row>
    <row r="127" spans="1:31" x14ac:dyDescent="0.3">
      <c r="A127" t="s">
        <v>183</v>
      </c>
      <c r="B127" s="6">
        <v>2013</v>
      </c>
      <c r="C127" s="6" t="s">
        <v>38</v>
      </c>
      <c r="D127" s="6" t="s">
        <v>56</v>
      </c>
      <c r="E127" s="1" t="s">
        <v>31</v>
      </c>
      <c r="F127" t="s">
        <v>42</v>
      </c>
      <c r="G127">
        <v>11</v>
      </c>
      <c r="H127">
        <v>5371866</v>
      </c>
      <c r="I127">
        <v>50.25</v>
      </c>
      <c r="J127">
        <v>145</v>
      </c>
      <c r="K127">
        <v>160</v>
      </c>
      <c r="L127">
        <v>5121</v>
      </c>
      <c r="M127">
        <v>160329</v>
      </c>
      <c r="N127">
        <v>0</v>
      </c>
      <c r="O127">
        <v>0</v>
      </c>
      <c r="P127">
        <v>1</v>
      </c>
      <c r="Q127">
        <v>1</v>
      </c>
      <c r="R127" t="s">
        <v>42</v>
      </c>
      <c r="S127" t="s">
        <v>42</v>
      </c>
      <c r="T127" t="s">
        <v>33</v>
      </c>
      <c r="U127" t="s">
        <v>34</v>
      </c>
      <c r="V127" t="s">
        <v>35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1</v>
      </c>
      <c r="AC127">
        <v>3</v>
      </c>
      <c r="AD127">
        <v>7</v>
      </c>
      <c r="AE127">
        <f t="shared" si="1"/>
        <v>3</v>
      </c>
    </row>
    <row r="128" spans="1:31" x14ac:dyDescent="0.3">
      <c r="A128" t="s">
        <v>184</v>
      </c>
      <c r="B128" s="6">
        <v>2013</v>
      </c>
      <c r="C128" s="6" t="s">
        <v>38</v>
      </c>
      <c r="D128" s="6" t="s">
        <v>56</v>
      </c>
      <c r="E128" s="1" t="s">
        <v>31</v>
      </c>
      <c r="F128" t="s">
        <v>32</v>
      </c>
      <c r="G128">
        <v>11</v>
      </c>
      <c r="H128">
        <v>5455221</v>
      </c>
      <c r="I128">
        <v>50.27</v>
      </c>
      <c r="J128">
        <v>135</v>
      </c>
      <c r="K128">
        <v>159</v>
      </c>
      <c r="L128">
        <v>5242</v>
      </c>
      <c r="M128">
        <v>158699</v>
      </c>
      <c r="N128">
        <v>0</v>
      </c>
      <c r="O128">
        <v>0</v>
      </c>
      <c r="P128">
        <v>1</v>
      </c>
      <c r="Q128">
        <v>1</v>
      </c>
      <c r="R128" t="s">
        <v>32</v>
      </c>
      <c r="S128" t="s">
        <v>32</v>
      </c>
      <c r="T128" t="s">
        <v>33</v>
      </c>
      <c r="U128" t="s">
        <v>34</v>
      </c>
      <c r="V128" t="s">
        <v>35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1</v>
      </c>
      <c r="AE128">
        <f t="shared" si="1"/>
        <v>1</v>
      </c>
    </row>
    <row r="129" spans="1:31" x14ac:dyDescent="0.3">
      <c r="A129" t="s">
        <v>185</v>
      </c>
      <c r="B129" s="6">
        <v>2013</v>
      </c>
      <c r="C129" s="6" t="s">
        <v>38</v>
      </c>
      <c r="D129" s="6" t="s">
        <v>56</v>
      </c>
      <c r="E129" s="1" t="s">
        <v>31</v>
      </c>
      <c r="F129" t="s">
        <v>39</v>
      </c>
      <c r="G129">
        <v>11</v>
      </c>
      <c r="H129">
        <v>5299439</v>
      </c>
      <c r="I129">
        <v>50.28</v>
      </c>
      <c r="J129">
        <v>153</v>
      </c>
      <c r="K129">
        <v>131</v>
      </c>
      <c r="L129">
        <v>5036</v>
      </c>
      <c r="M129">
        <v>160335</v>
      </c>
      <c r="N129">
        <v>1</v>
      </c>
      <c r="O129">
        <v>1</v>
      </c>
      <c r="P129">
        <v>1</v>
      </c>
      <c r="Q129">
        <v>1</v>
      </c>
      <c r="R129" t="s">
        <v>39</v>
      </c>
      <c r="S129" t="s">
        <v>39</v>
      </c>
      <c r="T129" t="s">
        <v>33</v>
      </c>
      <c r="U129" t="s">
        <v>34</v>
      </c>
      <c r="V129" t="s">
        <v>35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2</v>
      </c>
      <c r="AD129">
        <v>5</v>
      </c>
      <c r="AE129">
        <f t="shared" si="1"/>
        <v>2</v>
      </c>
    </row>
    <row r="130" spans="1:31" x14ac:dyDescent="0.3">
      <c r="A130" t="s">
        <v>186</v>
      </c>
      <c r="B130" s="3">
        <v>2013</v>
      </c>
      <c r="C130" s="3" t="s">
        <v>38</v>
      </c>
      <c r="D130" s="9" t="s">
        <v>30</v>
      </c>
      <c r="E130" s="1" t="s">
        <v>31</v>
      </c>
      <c r="F130" t="s">
        <v>42</v>
      </c>
      <c r="G130">
        <v>11</v>
      </c>
      <c r="H130">
        <v>5396132</v>
      </c>
      <c r="I130">
        <v>50.25</v>
      </c>
      <c r="J130">
        <v>103</v>
      </c>
      <c r="K130">
        <v>151</v>
      </c>
      <c r="L130">
        <v>5141</v>
      </c>
      <c r="M130">
        <v>189183</v>
      </c>
      <c r="N130">
        <v>0</v>
      </c>
      <c r="O130">
        <v>0</v>
      </c>
      <c r="P130">
        <v>1</v>
      </c>
      <c r="Q130">
        <v>1</v>
      </c>
      <c r="R130" t="s">
        <v>42</v>
      </c>
      <c r="S130" t="s">
        <v>42</v>
      </c>
      <c r="T130" t="s">
        <v>33</v>
      </c>
      <c r="U130" t="s">
        <v>34</v>
      </c>
      <c r="V130" t="s">
        <v>35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1</v>
      </c>
      <c r="AC130">
        <v>3</v>
      </c>
      <c r="AD130">
        <v>9</v>
      </c>
      <c r="AE130">
        <f t="shared" si="1"/>
        <v>3</v>
      </c>
    </row>
    <row r="131" spans="1:31" x14ac:dyDescent="0.3">
      <c r="A131" t="s">
        <v>187</v>
      </c>
      <c r="B131" s="3">
        <v>2013</v>
      </c>
      <c r="C131" s="3" t="s">
        <v>29</v>
      </c>
      <c r="D131" s="9" t="s">
        <v>30</v>
      </c>
      <c r="E131" s="1" t="s">
        <v>31</v>
      </c>
      <c r="F131" t="s">
        <v>42</v>
      </c>
      <c r="G131">
        <v>11</v>
      </c>
      <c r="H131">
        <v>5386828</v>
      </c>
      <c r="I131">
        <v>50.25</v>
      </c>
      <c r="J131">
        <v>84</v>
      </c>
      <c r="K131">
        <v>145</v>
      </c>
      <c r="L131">
        <v>5130</v>
      </c>
      <c r="M131">
        <v>188530</v>
      </c>
      <c r="N131">
        <v>0</v>
      </c>
      <c r="O131">
        <v>0</v>
      </c>
      <c r="P131">
        <v>1</v>
      </c>
      <c r="Q131">
        <v>1</v>
      </c>
      <c r="R131" t="s">
        <v>42</v>
      </c>
      <c r="S131" t="s">
        <v>42</v>
      </c>
      <c r="T131" t="s">
        <v>33</v>
      </c>
      <c r="U131" t="s">
        <v>34</v>
      </c>
      <c r="V131" t="s">
        <v>35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3</v>
      </c>
      <c r="AD131">
        <v>9</v>
      </c>
      <c r="AE131">
        <f t="shared" ref="AE131:AE145" si="2">IF(AC131=4,3,AC131)</f>
        <v>3</v>
      </c>
    </row>
    <row r="132" spans="1:31" x14ac:dyDescent="0.3">
      <c r="A132" t="s">
        <v>188</v>
      </c>
      <c r="B132" s="6">
        <v>2013</v>
      </c>
      <c r="C132" s="6" t="s">
        <v>29</v>
      </c>
      <c r="D132" s="6" t="s">
        <v>56</v>
      </c>
      <c r="E132" s="1" t="s">
        <v>31</v>
      </c>
      <c r="F132" t="s">
        <v>42</v>
      </c>
      <c r="G132">
        <v>11</v>
      </c>
      <c r="H132">
        <v>5363339</v>
      </c>
      <c r="I132">
        <v>50.25</v>
      </c>
      <c r="J132">
        <v>142</v>
      </c>
      <c r="K132">
        <v>155</v>
      </c>
      <c r="L132">
        <v>5111</v>
      </c>
      <c r="M132">
        <v>188310</v>
      </c>
      <c r="N132">
        <v>0</v>
      </c>
      <c r="O132">
        <v>0</v>
      </c>
      <c r="P132">
        <v>1</v>
      </c>
      <c r="Q132">
        <v>1</v>
      </c>
      <c r="R132" t="s">
        <v>42</v>
      </c>
      <c r="S132" t="s">
        <v>42</v>
      </c>
      <c r="T132" t="s">
        <v>33</v>
      </c>
      <c r="U132" t="s">
        <v>34</v>
      </c>
      <c r="V132" t="s">
        <v>35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1</v>
      </c>
      <c r="AC132">
        <v>3</v>
      </c>
      <c r="AD132">
        <v>7</v>
      </c>
      <c r="AE132">
        <f t="shared" si="2"/>
        <v>3</v>
      </c>
    </row>
    <row r="133" spans="1:31" x14ac:dyDescent="0.3">
      <c r="A133" t="s">
        <v>189</v>
      </c>
      <c r="B133" s="3">
        <v>2013</v>
      </c>
      <c r="C133" s="3" t="s">
        <v>38</v>
      </c>
      <c r="D133" s="9" t="s">
        <v>30</v>
      </c>
      <c r="E133" s="1" t="s">
        <v>31</v>
      </c>
      <c r="F133" t="s">
        <v>42</v>
      </c>
      <c r="G133">
        <v>11</v>
      </c>
      <c r="H133">
        <v>5392221</v>
      </c>
      <c r="I133">
        <v>50.25</v>
      </c>
      <c r="J133">
        <v>90</v>
      </c>
      <c r="K133">
        <v>139</v>
      </c>
      <c r="L133">
        <v>5138</v>
      </c>
      <c r="M133">
        <v>236138</v>
      </c>
      <c r="N133">
        <v>0</v>
      </c>
      <c r="O133">
        <v>0</v>
      </c>
      <c r="P133">
        <v>1</v>
      </c>
      <c r="Q133">
        <v>1</v>
      </c>
      <c r="R133" t="s">
        <v>42</v>
      </c>
      <c r="S133" t="s">
        <v>42</v>
      </c>
      <c r="T133" t="s">
        <v>33</v>
      </c>
      <c r="U133" t="s">
        <v>34</v>
      </c>
      <c r="V133" t="s">
        <v>35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3</v>
      </c>
      <c r="AD133">
        <v>7</v>
      </c>
      <c r="AE133">
        <f t="shared" si="2"/>
        <v>3</v>
      </c>
    </row>
    <row r="134" spans="1:31" x14ac:dyDescent="0.3">
      <c r="A134" t="s">
        <v>190</v>
      </c>
      <c r="B134" s="6">
        <v>2014</v>
      </c>
      <c r="C134" s="6" t="s">
        <v>38</v>
      </c>
      <c r="D134" s="6" t="s">
        <v>56</v>
      </c>
      <c r="E134" s="1" t="s">
        <v>31</v>
      </c>
      <c r="F134" t="s">
        <v>39</v>
      </c>
      <c r="G134">
        <v>11</v>
      </c>
      <c r="H134">
        <v>5401896</v>
      </c>
      <c r="I134">
        <v>50.24</v>
      </c>
      <c r="J134">
        <v>90</v>
      </c>
      <c r="K134">
        <v>131</v>
      </c>
      <c r="L134">
        <v>5167</v>
      </c>
      <c r="M134">
        <v>160335</v>
      </c>
      <c r="N134">
        <v>1</v>
      </c>
      <c r="O134">
        <v>1</v>
      </c>
      <c r="P134">
        <v>1</v>
      </c>
      <c r="Q134">
        <v>1</v>
      </c>
      <c r="R134" t="s">
        <v>39</v>
      </c>
      <c r="S134" t="s">
        <v>39</v>
      </c>
      <c r="T134" t="s">
        <v>33</v>
      </c>
      <c r="U134" t="s">
        <v>34</v>
      </c>
      <c r="V134" t="s">
        <v>35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2</v>
      </c>
      <c r="AD134">
        <v>4</v>
      </c>
      <c r="AE134">
        <f t="shared" si="2"/>
        <v>2</v>
      </c>
    </row>
    <row r="135" spans="1:31" x14ac:dyDescent="0.3">
      <c r="A135" t="s">
        <v>191</v>
      </c>
      <c r="B135" s="6">
        <v>2014</v>
      </c>
      <c r="C135" s="6" t="s">
        <v>38</v>
      </c>
      <c r="D135" s="6" t="s">
        <v>56</v>
      </c>
      <c r="E135" s="1" t="s">
        <v>31</v>
      </c>
      <c r="F135" t="s">
        <v>42</v>
      </c>
      <c r="G135">
        <v>11</v>
      </c>
      <c r="H135">
        <v>5462246</v>
      </c>
      <c r="I135">
        <v>50.26</v>
      </c>
      <c r="J135">
        <v>145</v>
      </c>
      <c r="K135">
        <v>154</v>
      </c>
      <c r="L135">
        <v>5230</v>
      </c>
      <c r="M135">
        <v>211465</v>
      </c>
      <c r="N135">
        <v>0</v>
      </c>
      <c r="O135">
        <v>0</v>
      </c>
      <c r="P135">
        <v>1</v>
      </c>
      <c r="Q135">
        <v>1</v>
      </c>
      <c r="R135" t="s">
        <v>42</v>
      </c>
      <c r="S135" t="s">
        <v>42</v>
      </c>
      <c r="T135" t="s">
        <v>33</v>
      </c>
      <c r="U135" t="s">
        <v>34</v>
      </c>
      <c r="V135" t="s">
        <v>35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3</v>
      </c>
      <c r="AD135">
        <v>8</v>
      </c>
      <c r="AE135">
        <f t="shared" si="2"/>
        <v>3</v>
      </c>
    </row>
    <row r="136" spans="1:31" x14ac:dyDescent="0.3">
      <c r="A136" t="s">
        <v>192</v>
      </c>
      <c r="B136" s="6">
        <v>2014</v>
      </c>
      <c r="C136" s="6" t="s">
        <v>29</v>
      </c>
      <c r="D136" s="6" t="s">
        <v>56</v>
      </c>
      <c r="E136" s="1" t="s">
        <v>31</v>
      </c>
      <c r="F136" t="s">
        <v>39</v>
      </c>
      <c r="G136">
        <v>11</v>
      </c>
      <c r="H136">
        <v>5444167</v>
      </c>
      <c r="I136">
        <v>50.22</v>
      </c>
      <c r="J136">
        <v>140</v>
      </c>
      <c r="K136">
        <v>144</v>
      </c>
      <c r="L136">
        <v>5221</v>
      </c>
      <c r="M136">
        <v>160335</v>
      </c>
      <c r="N136">
        <v>1</v>
      </c>
      <c r="O136">
        <v>1</v>
      </c>
      <c r="P136">
        <v>1</v>
      </c>
      <c r="Q136">
        <v>1</v>
      </c>
      <c r="R136" t="s">
        <v>39</v>
      </c>
      <c r="S136" t="s">
        <v>39</v>
      </c>
      <c r="T136" t="s">
        <v>33</v>
      </c>
      <c r="U136" t="s">
        <v>34</v>
      </c>
      <c r="V136" t="s">
        <v>35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2</v>
      </c>
      <c r="AD136">
        <v>4</v>
      </c>
      <c r="AE136">
        <f t="shared" si="2"/>
        <v>2</v>
      </c>
    </row>
    <row r="137" spans="1:31" x14ac:dyDescent="0.3">
      <c r="A137" t="s">
        <v>193</v>
      </c>
      <c r="B137" s="6">
        <v>2014</v>
      </c>
      <c r="C137" s="6" t="s">
        <v>29</v>
      </c>
      <c r="D137" s="6" t="s">
        <v>56</v>
      </c>
      <c r="E137" s="1" t="s">
        <v>31</v>
      </c>
      <c r="F137" t="s">
        <v>32</v>
      </c>
      <c r="G137">
        <v>11</v>
      </c>
      <c r="H137">
        <v>5415888</v>
      </c>
      <c r="I137">
        <v>50.25</v>
      </c>
      <c r="J137">
        <v>96</v>
      </c>
      <c r="K137">
        <v>143</v>
      </c>
      <c r="L137">
        <v>5195</v>
      </c>
      <c r="M137">
        <v>188305</v>
      </c>
      <c r="N137">
        <v>0</v>
      </c>
      <c r="O137">
        <v>0</v>
      </c>
      <c r="P137">
        <v>1</v>
      </c>
      <c r="Q137">
        <v>1</v>
      </c>
      <c r="R137" t="s">
        <v>32</v>
      </c>
      <c r="S137" t="s">
        <v>32</v>
      </c>
      <c r="T137" t="s">
        <v>33</v>
      </c>
      <c r="U137" t="s">
        <v>34</v>
      </c>
      <c r="V137" t="s">
        <v>35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1</v>
      </c>
      <c r="AE137">
        <f t="shared" si="2"/>
        <v>1</v>
      </c>
    </row>
    <row r="138" spans="1:31" x14ac:dyDescent="0.3">
      <c r="A138" t="s">
        <v>194</v>
      </c>
      <c r="B138" s="6">
        <v>2014</v>
      </c>
      <c r="C138" s="6" t="s">
        <v>38</v>
      </c>
      <c r="D138" s="6" t="s">
        <v>56</v>
      </c>
      <c r="E138" s="1" t="s">
        <v>31</v>
      </c>
      <c r="F138" t="s">
        <v>32</v>
      </c>
      <c r="G138">
        <v>11</v>
      </c>
      <c r="H138">
        <v>5511802</v>
      </c>
      <c r="I138">
        <v>50.12</v>
      </c>
      <c r="J138">
        <v>113</v>
      </c>
      <c r="K138">
        <v>148</v>
      </c>
      <c r="L138">
        <v>5321</v>
      </c>
      <c r="M138">
        <v>178918</v>
      </c>
      <c r="N138">
        <v>0</v>
      </c>
      <c r="O138">
        <v>0</v>
      </c>
      <c r="P138">
        <v>1</v>
      </c>
      <c r="Q138">
        <v>1</v>
      </c>
      <c r="R138" t="s">
        <v>32</v>
      </c>
      <c r="S138" t="s">
        <v>32</v>
      </c>
      <c r="T138" t="s">
        <v>33</v>
      </c>
      <c r="U138" t="s">
        <v>34</v>
      </c>
      <c r="V138" t="s">
        <v>35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3</v>
      </c>
      <c r="AE138">
        <f t="shared" si="2"/>
        <v>1</v>
      </c>
    </row>
    <row r="139" spans="1:31" x14ac:dyDescent="0.3">
      <c r="A139" t="s">
        <v>195</v>
      </c>
      <c r="B139" s="6">
        <v>2014</v>
      </c>
      <c r="C139" s="6" t="s">
        <v>29</v>
      </c>
      <c r="D139" s="6" t="s">
        <v>56</v>
      </c>
      <c r="E139" s="1" t="s">
        <v>31</v>
      </c>
      <c r="F139" t="s">
        <v>53</v>
      </c>
      <c r="G139">
        <v>11</v>
      </c>
      <c r="H139">
        <v>5449761</v>
      </c>
      <c r="I139">
        <v>50.28</v>
      </c>
      <c r="J139">
        <v>120</v>
      </c>
      <c r="K139">
        <v>129</v>
      </c>
      <c r="L139">
        <v>5202</v>
      </c>
      <c r="M139">
        <v>222897</v>
      </c>
      <c r="N139">
        <v>0</v>
      </c>
      <c r="O139">
        <v>0</v>
      </c>
      <c r="P139">
        <v>1</v>
      </c>
      <c r="Q139">
        <v>1</v>
      </c>
      <c r="R139" t="s">
        <v>53</v>
      </c>
      <c r="S139" t="s">
        <v>53</v>
      </c>
      <c r="T139" t="s">
        <v>33</v>
      </c>
      <c r="U139" t="s">
        <v>34</v>
      </c>
      <c r="V139" t="s">
        <v>35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1</v>
      </c>
      <c r="AC139">
        <v>3</v>
      </c>
      <c r="AD139">
        <v>9</v>
      </c>
      <c r="AE139">
        <f t="shared" si="2"/>
        <v>3</v>
      </c>
    </row>
    <row r="140" spans="1:31" x14ac:dyDescent="0.3">
      <c r="A140" t="s">
        <v>196</v>
      </c>
      <c r="B140" s="2">
        <v>2011</v>
      </c>
      <c r="C140" s="2" t="s">
        <v>29</v>
      </c>
      <c r="D140" s="2" t="s">
        <v>30</v>
      </c>
      <c r="E140" s="1" t="s">
        <v>31</v>
      </c>
      <c r="F140" t="s">
        <v>32</v>
      </c>
      <c r="G140">
        <v>11</v>
      </c>
      <c r="H140">
        <v>5414207</v>
      </c>
      <c r="I140">
        <v>50.26</v>
      </c>
      <c r="J140">
        <v>125</v>
      </c>
      <c r="K140">
        <v>158</v>
      </c>
      <c r="L140">
        <v>5192</v>
      </c>
      <c r="M140">
        <v>184636</v>
      </c>
      <c r="N140">
        <v>0</v>
      </c>
      <c r="O140">
        <v>0</v>
      </c>
      <c r="P140">
        <v>1</v>
      </c>
      <c r="Q140">
        <v>1</v>
      </c>
      <c r="R140" t="s">
        <v>32</v>
      </c>
      <c r="S140" t="s">
        <v>32</v>
      </c>
      <c r="T140" t="s">
        <v>33</v>
      </c>
      <c r="U140" t="s">
        <v>34</v>
      </c>
      <c r="V140" t="s">
        <v>35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f t="shared" si="2"/>
        <v>1</v>
      </c>
    </row>
    <row r="141" spans="1:31" x14ac:dyDescent="0.3">
      <c r="A141" t="s">
        <v>197</v>
      </c>
      <c r="B141" s="2">
        <v>2009</v>
      </c>
      <c r="C141" s="2" t="s">
        <v>29</v>
      </c>
      <c r="D141" s="2" t="s">
        <v>30</v>
      </c>
      <c r="E141" s="1" t="s">
        <v>31</v>
      </c>
      <c r="F141" t="s">
        <v>39</v>
      </c>
      <c r="G141">
        <v>11</v>
      </c>
      <c r="H141">
        <v>5334619</v>
      </c>
      <c r="I141">
        <v>50.27</v>
      </c>
      <c r="J141">
        <v>120</v>
      </c>
      <c r="K141">
        <v>142</v>
      </c>
      <c r="L141">
        <v>5069</v>
      </c>
      <c r="M141">
        <v>160335</v>
      </c>
      <c r="N141">
        <v>1</v>
      </c>
      <c r="O141">
        <v>1</v>
      </c>
      <c r="P141">
        <v>1</v>
      </c>
      <c r="Q141">
        <v>1</v>
      </c>
      <c r="R141" t="s">
        <v>39</v>
      </c>
      <c r="S141" t="s">
        <v>39</v>
      </c>
      <c r="T141" t="s">
        <v>33</v>
      </c>
      <c r="U141" t="s">
        <v>34</v>
      </c>
      <c r="V141" t="s">
        <v>35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0</v>
      </c>
      <c r="AC141">
        <v>2</v>
      </c>
      <c r="AD141">
        <v>5</v>
      </c>
      <c r="AE141">
        <f t="shared" si="2"/>
        <v>2</v>
      </c>
    </row>
    <row r="142" spans="1:31" x14ac:dyDescent="0.3">
      <c r="A142" t="s">
        <v>198</v>
      </c>
      <c r="B142" s="2">
        <v>2010</v>
      </c>
      <c r="C142" s="2" t="s">
        <v>29</v>
      </c>
      <c r="D142" s="2" t="s">
        <v>30</v>
      </c>
      <c r="E142" s="1" t="s">
        <v>31</v>
      </c>
      <c r="F142" t="s">
        <v>39</v>
      </c>
      <c r="G142">
        <v>11</v>
      </c>
      <c r="H142">
        <v>5235177</v>
      </c>
      <c r="I142">
        <v>50.22</v>
      </c>
      <c r="J142">
        <v>193</v>
      </c>
      <c r="K142">
        <v>188</v>
      </c>
      <c r="L142">
        <v>4941</v>
      </c>
      <c r="M142">
        <v>127409</v>
      </c>
      <c r="N142">
        <v>1</v>
      </c>
      <c r="O142">
        <v>1</v>
      </c>
      <c r="P142">
        <v>1</v>
      </c>
      <c r="Q142">
        <v>1</v>
      </c>
      <c r="R142" t="s">
        <v>39</v>
      </c>
      <c r="S142" t="s">
        <v>39</v>
      </c>
      <c r="T142" t="s">
        <v>33</v>
      </c>
      <c r="U142" t="s">
        <v>34</v>
      </c>
      <c r="V142" t="s">
        <v>35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2</v>
      </c>
      <c r="AD142">
        <v>4</v>
      </c>
      <c r="AE142">
        <f t="shared" si="2"/>
        <v>2</v>
      </c>
    </row>
    <row r="143" spans="1:31" x14ac:dyDescent="0.3">
      <c r="A143" t="s">
        <v>199</v>
      </c>
      <c r="B143" s="2">
        <v>2009</v>
      </c>
      <c r="C143" s="2" t="s">
        <v>29</v>
      </c>
      <c r="D143" s="2" t="s">
        <v>30</v>
      </c>
      <c r="E143" s="1" t="s">
        <v>31</v>
      </c>
      <c r="F143" t="s">
        <v>32</v>
      </c>
      <c r="G143">
        <v>11</v>
      </c>
      <c r="H143">
        <v>5443021</v>
      </c>
      <c r="I143">
        <v>50.29</v>
      </c>
      <c r="J143">
        <v>100</v>
      </c>
      <c r="K143">
        <v>158</v>
      </c>
      <c r="L143">
        <v>5220</v>
      </c>
      <c r="M143">
        <v>188305</v>
      </c>
      <c r="N143">
        <v>0</v>
      </c>
      <c r="O143">
        <v>0</v>
      </c>
      <c r="P143">
        <v>1</v>
      </c>
      <c r="Q143">
        <v>1</v>
      </c>
      <c r="R143" t="s">
        <v>32</v>
      </c>
      <c r="S143" t="s">
        <v>32</v>
      </c>
      <c r="T143" t="s">
        <v>33</v>
      </c>
      <c r="U143" t="s">
        <v>34</v>
      </c>
      <c r="V143" t="s">
        <v>35</v>
      </c>
      <c r="W143">
        <v>1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1</v>
      </c>
      <c r="AD143">
        <v>1</v>
      </c>
      <c r="AE143">
        <f t="shared" si="2"/>
        <v>1</v>
      </c>
    </row>
    <row r="144" spans="1:31" x14ac:dyDescent="0.3">
      <c r="A144" t="s">
        <v>217</v>
      </c>
      <c r="B144" s="6">
        <v>2006</v>
      </c>
      <c r="C144" s="3" t="s">
        <v>38</v>
      </c>
      <c r="D144" s="9" t="s">
        <v>30</v>
      </c>
      <c r="E144" s="1" t="s">
        <v>31</v>
      </c>
      <c r="F144" t="s">
        <v>32</v>
      </c>
      <c r="G144">
        <v>11</v>
      </c>
      <c r="H144">
        <v>5372234</v>
      </c>
      <c r="I144">
        <v>50.29</v>
      </c>
      <c r="J144">
        <v>109</v>
      </c>
      <c r="K144">
        <v>113</v>
      </c>
      <c r="L144">
        <v>5135</v>
      </c>
      <c r="M144">
        <v>188961</v>
      </c>
      <c r="N144">
        <v>0</v>
      </c>
      <c r="O144">
        <v>0</v>
      </c>
      <c r="P144">
        <v>1</v>
      </c>
      <c r="Q144">
        <v>1</v>
      </c>
      <c r="R144" t="s">
        <v>32</v>
      </c>
      <c r="S144" t="s">
        <v>32</v>
      </c>
      <c r="T144" t="s">
        <v>33</v>
      </c>
      <c r="U144" t="s">
        <v>34</v>
      </c>
      <c r="V144" t="s">
        <v>35</v>
      </c>
      <c r="W144">
        <v>1</v>
      </c>
      <c r="X144">
        <v>1</v>
      </c>
      <c r="Y144">
        <v>1</v>
      </c>
      <c r="Z144">
        <v>0</v>
      </c>
      <c r="AA144">
        <v>1</v>
      </c>
      <c r="AB144">
        <v>0</v>
      </c>
      <c r="AC144">
        <v>1</v>
      </c>
      <c r="AD144">
        <v>1</v>
      </c>
      <c r="AE144">
        <f t="shared" si="2"/>
        <v>1</v>
      </c>
    </row>
    <row r="145" spans="1:31" x14ac:dyDescent="0.3">
      <c r="A145" t="s">
        <v>200</v>
      </c>
      <c r="B145" s="2">
        <v>2010</v>
      </c>
      <c r="C145" s="2" t="s">
        <v>38</v>
      </c>
      <c r="D145" s="2" t="s">
        <v>30</v>
      </c>
      <c r="E145" s="1" t="s">
        <v>31</v>
      </c>
      <c r="F145" t="s">
        <v>61</v>
      </c>
      <c r="G145">
        <v>11</v>
      </c>
      <c r="H145">
        <v>5272524</v>
      </c>
      <c r="I145">
        <v>50.16</v>
      </c>
      <c r="J145">
        <v>189</v>
      </c>
      <c r="K145">
        <v>207</v>
      </c>
      <c r="L145">
        <v>4987</v>
      </c>
      <c r="M145">
        <v>132998</v>
      </c>
      <c r="N145">
        <v>0</v>
      </c>
      <c r="O145">
        <v>0</v>
      </c>
      <c r="P145">
        <v>1</v>
      </c>
      <c r="Q145">
        <v>1</v>
      </c>
      <c r="R145" t="s">
        <v>61</v>
      </c>
      <c r="S145" t="s">
        <v>61</v>
      </c>
      <c r="T145" t="s">
        <v>33</v>
      </c>
      <c r="U145" t="s">
        <v>34</v>
      </c>
      <c r="V145" t="s">
        <v>35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3</v>
      </c>
      <c r="AD145">
        <v>8</v>
      </c>
      <c r="AE145">
        <f t="shared" si="2"/>
        <v>3</v>
      </c>
    </row>
  </sheetData>
  <sortState xmlns:xlrd2="http://schemas.microsoft.com/office/spreadsheetml/2017/richdata2" ref="A2:AB146">
    <sortCondition ref="A2:A146"/>
  </sortState>
  <phoneticPr fontId="8" type="noConversion"/>
  <conditionalFormatting sqref="R1:R22 R24:R27 R29 R31:R34 R36:R40 R42:R44 R46:R64 R66:R85 R87 R89:R90 R92:R103 R105:R111 R113 R115:R117 R119:R120 R122:R1048576">
    <cfRule type="duplicateValues" dxfId="2" priority="4"/>
  </conditionalFormatting>
  <conditionalFormatting sqref="R1:S22 R24:S27 R29:S29 R31:S34 R36:S40 R42:S44 R46:S64 R66:S85 R87:S87 R89:S90 R92:S103 R105:S111 R113:S113 R115:S117 R119:S120 R122:S1048576">
    <cfRule type="duplicateValues" dxfId="1" priority="2"/>
  </conditionalFormatting>
  <conditionalFormatting sqref="S1:S3 S6:S22 S24:S27 S29 S31:S34 S36:S40 S42:S44 S46:S64 S66:S85 S87 S89:S90 S92:S103 S105:S111 S113 S115:S117 S119:S120 S122:S141">
    <cfRule type="cellIs" dxfId="0" priority="3" operator="between">
      <formula>90</formula>
      <formula>100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D208-2B14-4CED-8E5E-98FDBAD3BE26}">
  <dimension ref="A1:C144"/>
  <sheetViews>
    <sheetView workbookViewId="0">
      <selection activeCell="C144" sqref="C1:C144"/>
    </sheetView>
  </sheetViews>
  <sheetFormatPr defaultRowHeight="14.4" x14ac:dyDescent="0.3"/>
  <sheetData>
    <row r="1" spans="1:3" x14ac:dyDescent="0.3">
      <c r="A1" t="s">
        <v>28</v>
      </c>
      <c r="B1" t="s">
        <v>201</v>
      </c>
      <c r="C1" t="s">
        <v>32</v>
      </c>
    </row>
    <row r="2" spans="1:3" x14ac:dyDescent="0.3">
      <c r="A2" t="s">
        <v>36</v>
      </c>
      <c r="B2" t="s">
        <v>201</v>
      </c>
      <c r="C2" t="s">
        <v>32</v>
      </c>
    </row>
    <row r="3" spans="1:3" x14ac:dyDescent="0.3">
      <c r="A3" t="s">
        <v>37</v>
      </c>
      <c r="B3" t="s">
        <v>202</v>
      </c>
      <c r="C3" t="s">
        <v>39</v>
      </c>
    </row>
    <row r="4" spans="1:3" x14ac:dyDescent="0.3">
      <c r="A4" t="s">
        <v>40</v>
      </c>
      <c r="B4" t="s">
        <v>202</v>
      </c>
      <c r="C4" t="s">
        <v>39</v>
      </c>
    </row>
    <row r="5" spans="1:3" x14ac:dyDescent="0.3">
      <c r="A5" t="s">
        <v>41</v>
      </c>
      <c r="B5" t="s">
        <v>203</v>
      </c>
      <c r="C5" t="s">
        <v>42</v>
      </c>
    </row>
    <row r="6" spans="1:3" x14ac:dyDescent="0.3">
      <c r="A6" t="s">
        <v>43</v>
      </c>
      <c r="B6" t="s">
        <v>202</v>
      </c>
      <c r="C6" t="s">
        <v>39</v>
      </c>
    </row>
    <row r="7" spans="1:3" x14ac:dyDescent="0.3">
      <c r="A7" t="s">
        <v>44</v>
      </c>
      <c r="B7" t="s">
        <v>201</v>
      </c>
      <c r="C7" t="s">
        <v>32</v>
      </c>
    </row>
    <row r="8" spans="1:3" x14ac:dyDescent="0.3">
      <c r="A8" t="s">
        <v>45</v>
      </c>
      <c r="B8" t="s">
        <v>203</v>
      </c>
      <c r="C8" t="s">
        <v>42</v>
      </c>
    </row>
    <row r="9" spans="1:3" x14ac:dyDescent="0.3">
      <c r="A9" t="s">
        <v>46</v>
      </c>
      <c r="B9" t="s">
        <v>202</v>
      </c>
      <c r="C9" t="s">
        <v>39</v>
      </c>
    </row>
    <row r="10" spans="1:3" x14ac:dyDescent="0.3">
      <c r="A10" t="s">
        <v>47</v>
      </c>
      <c r="B10" t="s">
        <v>201</v>
      </c>
      <c r="C10" t="s">
        <v>32</v>
      </c>
    </row>
    <row r="11" spans="1:3" x14ac:dyDescent="0.3">
      <c r="A11" t="s">
        <v>48</v>
      </c>
      <c r="B11" t="s">
        <v>202</v>
      </c>
      <c r="C11" t="s">
        <v>39</v>
      </c>
    </row>
    <row r="12" spans="1:3" x14ac:dyDescent="0.3">
      <c r="A12" t="s">
        <v>49</v>
      </c>
      <c r="B12" t="s">
        <v>203</v>
      </c>
      <c r="C12" t="s">
        <v>42</v>
      </c>
    </row>
    <row r="13" spans="1:3" x14ac:dyDescent="0.3">
      <c r="A13" t="s">
        <v>50</v>
      </c>
      <c r="B13" t="s">
        <v>204</v>
      </c>
      <c r="C13" t="s">
        <v>51</v>
      </c>
    </row>
    <row r="14" spans="1:3" x14ac:dyDescent="0.3">
      <c r="A14" t="s">
        <v>52</v>
      </c>
      <c r="B14" t="s">
        <v>205</v>
      </c>
      <c r="C14" t="s">
        <v>53</v>
      </c>
    </row>
    <row r="15" spans="1:3" x14ac:dyDescent="0.3">
      <c r="A15" t="s">
        <v>54</v>
      </c>
      <c r="B15" t="s">
        <v>201</v>
      </c>
      <c r="C15" t="s">
        <v>32</v>
      </c>
    </row>
    <row r="16" spans="1:3" x14ac:dyDescent="0.3">
      <c r="A16" t="s">
        <v>55</v>
      </c>
      <c r="B16" t="s">
        <v>201</v>
      </c>
      <c r="C16" t="s">
        <v>32</v>
      </c>
    </row>
    <row r="17" spans="1:3" x14ac:dyDescent="0.3">
      <c r="A17" t="s">
        <v>57</v>
      </c>
      <c r="B17" t="s">
        <v>206</v>
      </c>
      <c r="C17" t="s">
        <v>58</v>
      </c>
    </row>
    <row r="18" spans="1:3" x14ac:dyDescent="0.3">
      <c r="A18" t="s">
        <v>60</v>
      </c>
      <c r="B18" t="s">
        <v>207</v>
      </c>
      <c r="C18" t="s">
        <v>61</v>
      </c>
    </row>
    <row r="19" spans="1:3" x14ac:dyDescent="0.3">
      <c r="A19" t="s">
        <v>62</v>
      </c>
      <c r="B19" t="s">
        <v>202</v>
      </c>
      <c r="C19" t="s">
        <v>39</v>
      </c>
    </row>
    <row r="20" spans="1:3" x14ac:dyDescent="0.3">
      <c r="A20" t="s">
        <v>63</v>
      </c>
      <c r="B20" t="s">
        <v>208</v>
      </c>
      <c r="C20" t="s">
        <v>64</v>
      </c>
    </row>
    <row r="21" spans="1:3" x14ac:dyDescent="0.3">
      <c r="A21" t="s">
        <v>65</v>
      </c>
      <c r="B21" t="s">
        <v>203</v>
      </c>
      <c r="C21" t="s">
        <v>42</v>
      </c>
    </row>
    <row r="22" spans="1:3" x14ac:dyDescent="0.3">
      <c r="A22" t="s">
        <v>66</v>
      </c>
      <c r="B22" t="s">
        <v>202</v>
      </c>
      <c r="C22" t="s">
        <v>39</v>
      </c>
    </row>
    <row r="23" spans="1:3" x14ac:dyDescent="0.3">
      <c r="A23" t="s">
        <v>68</v>
      </c>
      <c r="B23" t="s">
        <v>202</v>
      </c>
      <c r="C23" t="s">
        <v>39</v>
      </c>
    </row>
    <row r="24" spans="1:3" x14ac:dyDescent="0.3">
      <c r="A24" t="s">
        <v>69</v>
      </c>
      <c r="B24" t="s">
        <v>201</v>
      </c>
      <c r="C24" t="s">
        <v>32</v>
      </c>
    </row>
    <row r="25" spans="1:3" x14ac:dyDescent="0.3">
      <c r="A25" t="s">
        <v>70</v>
      </c>
      <c r="B25" t="s">
        <v>204</v>
      </c>
      <c r="C25" t="s">
        <v>51</v>
      </c>
    </row>
    <row r="26" spans="1:3" x14ac:dyDescent="0.3">
      <c r="A26" t="s">
        <v>71</v>
      </c>
      <c r="B26" t="s">
        <v>201</v>
      </c>
      <c r="C26" t="s">
        <v>32</v>
      </c>
    </row>
    <row r="27" spans="1:3" x14ac:dyDescent="0.3">
      <c r="A27" t="s">
        <v>72</v>
      </c>
      <c r="B27" t="s">
        <v>202</v>
      </c>
      <c r="C27" t="s">
        <v>39</v>
      </c>
    </row>
    <row r="28" spans="1:3" x14ac:dyDescent="0.3">
      <c r="A28" t="s">
        <v>73</v>
      </c>
      <c r="B28" t="s">
        <v>202</v>
      </c>
      <c r="C28" t="s">
        <v>39</v>
      </c>
    </row>
    <row r="29" spans="1:3" x14ac:dyDescent="0.3">
      <c r="A29" t="s">
        <v>74</v>
      </c>
      <c r="B29" t="s">
        <v>202</v>
      </c>
      <c r="C29" t="s">
        <v>39</v>
      </c>
    </row>
    <row r="30" spans="1:3" x14ac:dyDescent="0.3">
      <c r="A30" t="s">
        <v>75</v>
      </c>
      <c r="B30" t="s">
        <v>201</v>
      </c>
      <c r="C30" t="s">
        <v>32</v>
      </c>
    </row>
    <row r="31" spans="1:3" x14ac:dyDescent="0.3">
      <c r="A31" t="s">
        <v>76</v>
      </c>
      <c r="B31" t="s">
        <v>203</v>
      </c>
      <c r="C31" t="s">
        <v>42</v>
      </c>
    </row>
    <row r="32" spans="1:3" x14ac:dyDescent="0.3">
      <c r="A32" t="s">
        <v>77</v>
      </c>
      <c r="B32" t="s">
        <v>201</v>
      </c>
      <c r="C32" t="s">
        <v>32</v>
      </c>
    </row>
    <row r="33" spans="1:3" x14ac:dyDescent="0.3">
      <c r="A33" t="s">
        <v>78</v>
      </c>
      <c r="B33" t="s">
        <v>201</v>
      </c>
      <c r="C33" t="s">
        <v>32</v>
      </c>
    </row>
    <row r="34" spans="1:3" x14ac:dyDescent="0.3">
      <c r="A34" t="s">
        <v>79</v>
      </c>
      <c r="B34" t="s">
        <v>209</v>
      </c>
      <c r="C34" t="s">
        <v>80</v>
      </c>
    </row>
    <row r="35" spans="1:3" x14ac:dyDescent="0.3">
      <c r="A35" t="s">
        <v>81</v>
      </c>
      <c r="B35" t="s">
        <v>201</v>
      </c>
      <c r="C35" t="s">
        <v>32</v>
      </c>
    </row>
    <row r="36" spans="1:3" x14ac:dyDescent="0.3">
      <c r="A36" t="s">
        <v>82</v>
      </c>
      <c r="B36" t="s">
        <v>202</v>
      </c>
      <c r="C36" t="s">
        <v>39</v>
      </c>
    </row>
    <row r="37" spans="1:3" x14ac:dyDescent="0.3">
      <c r="A37" t="s">
        <v>83</v>
      </c>
      <c r="B37" t="s">
        <v>210</v>
      </c>
      <c r="C37" t="s">
        <v>84</v>
      </c>
    </row>
    <row r="38" spans="1:3" x14ac:dyDescent="0.3">
      <c r="A38" t="s">
        <v>85</v>
      </c>
      <c r="B38" t="s">
        <v>203</v>
      </c>
      <c r="C38" t="s">
        <v>42</v>
      </c>
    </row>
    <row r="39" spans="1:3" x14ac:dyDescent="0.3">
      <c r="A39" t="s">
        <v>86</v>
      </c>
      <c r="B39" t="s">
        <v>202</v>
      </c>
      <c r="C39" t="s">
        <v>39</v>
      </c>
    </row>
    <row r="40" spans="1:3" x14ac:dyDescent="0.3">
      <c r="A40" t="s">
        <v>87</v>
      </c>
      <c r="B40" t="s">
        <v>201</v>
      </c>
      <c r="C40" t="s">
        <v>32</v>
      </c>
    </row>
    <row r="41" spans="1:3" x14ac:dyDescent="0.3">
      <c r="A41" t="s">
        <v>89</v>
      </c>
      <c r="B41" t="s">
        <v>201</v>
      </c>
      <c r="C41" t="s">
        <v>32</v>
      </c>
    </row>
    <row r="42" spans="1:3" x14ac:dyDescent="0.3">
      <c r="A42" t="s">
        <v>90</v>
      </c>
      <c r="B42" t="s">
        <v>207</v>
      </c>
      <c r="C42" t="s">
        <v>61</v>
      </c>
    </row>
    <row r="43" spans="1:3" x14ac:dyDescent="0.3">
      <c r="A43" t="s">
        <v>91</v>
      </c>
      <c r="B43" t="s">
        <v>203</v>
      </c>
      <c r="C43" t="s">
        <v>42</v>
      </c>
    </row>
    <row r="44" spans="1:3" x14ac:dyDescent="0.3">
      <c r="A44" t="s">
        <v>92</v>
      </c>
      <c r="B44" t="s">
        <v>202</v>
      </c>
      <c r="C44" t="s">
        <v>39</v>
      </c>
    </row>
    <row r="45" spans="1:3" x14ac:dyDescent="0.3">
      <c r="A45" t="s">
        <v>93</v>
      </c>
      <c r="B45" t="s">
        <v>201</v>
      </c>
      <c r="C45" t="s">
        <v>32</v>
      </c>
    </row>
    <row r="46" spans="1:3" x14ac:dyDescent="0.3">
      <c r="A46" t="s">
        <v>94</v>
      </c>
      <c r="B46" t="s">
        <v>201</v>
      </c>
      <c r="C46" t="s">
        <v>32</v>
      </c>
    </row>
    <row r="47" spans="1:3" x14ac:dyDescent="0.3">
      <c r="A47" t="s">
        <v>95</v>
      </c>
      <c r="B47" t="s">
        <v>202</v>
      </c>
      <c r="C47" t="s">
        <v>39</v>
      </c>
    </row>
    <row r="48" spans="1:3" x14ac:dyDescent="0.3">
      <c r="A48" t="s">
        <v>96</v>
      </c>
      <c r="B48" t="s">
        <v>203</v>
      </c>
      <c r="C48" t="s">
        <v>42</v>
      </c>
    </row>
    <row r="49" spans="1:3" x14ac:dyDescent="0.3">
      <c r="A49" t="s">
        <v>97</v>
      </c>
      <c r="B49" t="s">
        <v>201</v>
      </c>
      <c r="C49" t="s">
        <v>32</v>
      </c>
    </row>
    <row r="50" spans="1:3" x14ac:dyDescent="0.3">
      <c r="A50" t="s">
        <v>98</v>
      </c>
      <c r="B50" t="s">
        <v>202</v>
      </c>
      <c r="C50" t="s">
        <v>39</v>
      </c>
    </row>
    <row r="51" spans="1:3" x14ac:dyDescent="0.3">
      <c r="A51" t="s">
        <v>99</v>
      </c>
      <c r="B51" t="s">
        <v>201</v>
      </c>
      <c r="C51" t="s">
        <v>32</v>
      </c>
    </row>
    <row r="52" spans="1:3" x14ac:dyDescent="0.3">
      <c r="A52" t="s">
        <v>100</v>
      </c>
      <c r="B52" t="s">
        <v>211</v>
      </c>
      <c r="C52" t="s">
        <v>88</v>
      </c>
    </row>
    <row r="53" spans="1:3" x14ac:dyDescent="0.3">
      <c r="A53" t="s">
        <v>101</v>
      </c>
      <c r="B53" t="s">
        <v>203</v>
      </c>
      <c r="C53" t="s">
        <v>42</v>
      </c>
    </row>
    <row r="54" spans="1:3" x14ac:dyDescent="0.3">
      <c r="A54" t="s">
        <v>102</v>
      </c>
      <c r="B54" t="s">
        <v>202</v>
      </c>
      <c r="C54" t="s">
        <v>39</v>
      </c>
    </row>
    <row r="55" spans="1:3" x14ac:dyDescent="0.3">
      <c r="A55" t="s">
        <v>103</v>
      </c>
      <c r="B55" t="s">
        <v>203</v>
      </c>
      <c r="C55" t="s">
        <v>42</v>
      </c>
    </row>
    <row r="56" spans="1:3" x14ac:dyDescent="0.3">
      <c r="A56" t="s">
        <v>104</v>
      </c>
      <c r="B56" t="s">
        <v>201</v>
      </c>
      <c r="C56" t="s">
        <v>32</v>
      </c>
    </row>
    <row r="57" spans="1:3" x14ac:dyDescent="0.3">
      <c r="A57" t="s">
        <v>105</v>
      </c>
      <c r="B57" t="s">
        <v>203</v>
      </c>
      <c r="C57" t="s">
        <v>42</v>
      </c>
    </row>
    <row r="58" spans="1:3" x14ac:dyDescent="0.3">
      <c r="A58" t="s">
        <v>106</v>
      </c>
      <c r="B58" t="s">
        <v>203</v>
      </c>
      <c r="C58" t="s">
        <v>42</v>
      </c>
    </row>
    <row r="59" spans="1:3" x14ac:dyDescent="0.3">
      <c r="A59" t="s">
        <v>107</v>
      </c>
      <c r="B59" t="s">
        <v>201</v>
      </c>
      <c r="C59" t="s">
        <v>32</v>
      </c>
    </row>
    <row r="60" spans="1:3" x14ac:dyDescent="0.3">
      <c r="A60" t="s">
        <v>108</v>
      </c>
      <c r="B60" t="s">
        <v>201</v>
      </c>
      <c r="C60" t="s">
        <v>32</v>
      </c>
    </row>
    <row r="61" spans="1:3" x14ac:dyDescent="0.3">
      <c r="A61" t="s">
        <v>109</v>
      </c>
      <c r="B61" t="s">
        <v>202</v>
      </c>
      <c r="C61" t="s">
        <v>39</v>
      </c>
    </row>
    <row r="62" spans="1:3" x14ac:dyDescent="0.3">
      <c r="A62" t="s">
        <v>110</v>
      </c>
      <c r="B62" t="s">
        <v>203</v>
      </c>
      <c r="C62" t="s">
        <v>42</v>
      </c>
    </row>
    <row r="63" spans="1:3" x14ac:dyDescent="0.3">
      <c r="A63" t="s">
        <v>111</v>
      </c>
      <c r="B63" t="s">
        <v>201</v>
      </c>
      <c r="C63" t="s">
        <v>32</v>
      </c>
    </row>
    <row r="64" spans="1:3" x14ac:dyDescent="0.3">
      <c r="A64" t="s">
        <v>112</v>
      </c>
      <c r="B64" t="s">
        <v>202</v>
      </c>
      <c r="C64" t="s">
        <v>39</v>
      </c>
    </row>
    <row r="65" spans="1:3" x14ac:dyDescent="0.3">
      <c r="A65" t="s">
        <v>113</v>
      </c>
      <c r="B65" t="s">
        <v>203</v>
      </c>
      <c r="C65" t="s">
        <v>42</v>
      </c>
    </row>
    <row r="66" spans="1:3" x14ac:dyDescent="0.3">
      <c r="A66" t="s">
        <v>114</v>
      </c>
      <c r="B66" t="s">
        <v>201</v>
      </c>
      <c r="C66" t="s">
        <v>32</v>
      </c>
    </row>
    <row r="67" spans="1:3" x14ac:dyDescent="0.3">
      <c r="A67" t="s">
        <v>115</v>
      </c>
      <c r="B67" t="s">
        <v>201</v>
      </c>
      <c r="C67" t="s">
        <v>32</v>
      </c>
    </row>
    <row r="68" spans="1:3" x14ac:dyDescent="0.3">
      <c r="A68" t="s">
        <v>116</v>
      </c>
      <c r="B68" t="s">
        <v>201</v>
      </c>
      <c r="C68" t="s">
        <v>32</v>
      </c>
    </row>
    <row r="69" spans="1:3" x14ac:dyDescent="0.3">
      <c r="A69" t="s">
        <v>117</v>
      </c>
      <c r="B69" t="s">
        <v>212</v>
      </c>
      <c r="C69" t="s">
        <v>118</v>
      </c>
    </row>
    <row r="70" spans="1:3" x14ac:dyDescent="0.3">
      <c r="A70" t="s">
        <v>119</v>
      </c>
      <c r="B70" t="s">
        <v>207</v>
      </c>
      <c r="C70" t="s">
        <v>61</v>
      </c>
    </row>
    <row r="71" spans="1:3" x14ac:dyDescent="0.3">
      <c r="A71" t="s">
        <v>120</v>
      </c>
      <c r="B71" t="s">
        <v>203</v>
      </c>
      <c r="C71" t="s">
        <v>42</v>
      </c>
    </row>
    <row r="72" spans="1:3" x14ac:dyDescent="0.3">
      <c r="A72" t="s">
        <v>121</v>
      </c>
      <c r="B72" t="s">
        <v>202</v>
      </c>
      <c r="C72" t="s">
        <v>39</v>
      </c>
    </row>
    <row r="73" spans="1:3" x14ac:dyDescent="0.3">
      <c r="A73" t="s">
        <v>122</v>
      </c>
      <c r="B73" t="s">
        <v>201</v>
      </c>
      <c r="C73" t="s">
        <v>32</v>
      </c>
    </row>
    <row r="74" spans="1:3" x14ac:dyDescent="0.3">
      <c r="A74" t="s">
        <v>123</v>
      </c>
      <c r="B74" t="s">
        <v>207</v>
      </c>
      <c r="C74" t="s">
        <v>61</v>
      </c>
    </row>
    <row r="75" spans="1:3" x14ac:dyDescent="0.3">
      <c r="A75" t="s">
        <v>124</v>
      </c>
      <c r="B75" t="s">
        <v>201</v>
      </c>
      <c r="C75" t="s">
        <v>32</v>
      </c>
    </row>
    <row r="76" spans="1:3" x14ac:dyDescent="0.3">
      <c r="A76" t="s">
        <v>125</v>
      </c>
      <c r="B76" t="s">
        <v>201</v>
      </c>
      <c r="C76" t="s">
        <v>32</v>
      </c>
    </row>
    <row r="77" spans="1:3" x14ac:dyDescent="0.3">
      <c r="A77" t="s">
        <v>126</v>
      </c>
      <c r="B77" t="s">
        <v>205</v>
      </c>
      <c r="C77" t="s">
        <v>53</v>
      </c>
    </row>
    <row r="78" spans="1:3" x14ac:dyDescent="0.3">
      <c r="A78" t="s">
        <v>127</v>
      </c>
      <c r="B78" t="s">
        <v>202</v>
      </c>
      <c r="C78" t="s">
        <v>39</v>
      </c>
    </row>
    <row r="79" spans="1:3" x14ac:dyDescent="0.3">
      <c r="A79" t="s">
        <v>128</v>
      </c>
      <c r="B79" t="s">
        <v>205</v>
      </c>
      <c r="C79" t="s">
        <v>53</v>
      </c>
    </row>
    <row r="80" spans="1:3" x14ac:dyDescent="0.3">
      <c r="A80" t="s">
        <v>129</v>
      </c>
      <c r="B80" t="s">
        <v>203</v>
      </c>
      <c r="C80" t="s">
        <v>42</v>
      </c>
    </row>
    <row r="81" spans="1:3" x14ac:dyDescent="0.3">
      <c r="A81" t="s">
        <v>130</v>
      </c>
      <c r="B81" t="s">
        <v>203</v>
      </c>
      <c r="C81" t="s">
        <v>42</v>
      </c>
    </row>
    <row r="82" spans="1:3" x14ac:dyDescent="0.3">
      <c r="A82" t="s">
        <v>131</v>
      </c>
      <c r="B82" t="s">
        <v>203</v>
      </c>
      <c r="C82" t="s">
        <v>42</v>
      </c>
    </row>
    <row r="83" spans="1:3" x14ac:dyDescent="0.3">
      <c r="A83" t="s">
        <v>132</v>
      </c>
      <c r="B83" t="s">
        <v>201</v>
      </c>
      <c r="C83" t="s">
        <v>32</v>
      </c>
    </row>
    <row r="84" spans="1:3" x14ac:dyDescent="0.3">
      <c r="A84" t="s">
        <v>133</v>
      </c>
      <c r="B84" t="s">
        <v>201</v>
      </c>
      <c r="C84" t="s">
        <v>32</v>
      </c>
    </row>
    <row r="85" spans="1:3" x14ac:dyDescent="0.3">
      <c r="A85" t="s">
        <v>134</v>
      </c>
      <c r="B85" t="s">
        <v>202</v>
      </c>
      <c r="C85" t="s">
        <v>39</v>
      </c>
    </row>
    <row r="86" spans="1:3" x14ac:dyDescent="0.3">
      <c r="A86" t="s">
        <v>135</v>
      </c>
      <c r="B86" t="s">
        <v>202</v>
      </c>
      <c r="C86" t="s">
        <v>39</v>
      </c>
    </row>
    <row r="87" spans="1:3" x14ac:dyDescent="0.3">
      <c r="A87" t="s">
        <v>136</v>
      </c>
      <c r="B87" t="s">
        <v>213</v>
      </c>
      <c r="C87" t="s">
        <v>137</v>
      </c>
    </row>
    <row r="88" spans="1:3" x14ac:dyDescent="0.3">
      <c r="A88" t="s">
        <v>138</v>
      </c>
      <c r="B88" t="s">
        <v>201</v>
      </c>
      <c r="C88" t="s">
        <v>32</v>
      </c>
    </row>
    <row r="89" spans="1:3" x14ac:dyDescent="0.3">
      <c r="A89" t="s">
        <v>139</v>
      </c>
      <c r="B89" t="s">
        <v>203</v>
      </c>
      <c r="C89" t="s">
        <v>42</v>
      </c>
    </row>
    <row r="90" spans="1:3" x14ac:dyDescent="0.3">
      <c r="A90" t="s">
        <v>140</v>
      </c>
      <c r="B90" t="s">
        <v>202</v>
      </c>
      <c r="C90" t="s">
        <v>39</v>
      </c>
    </row>
    <row r="91" spans="1:3" x14ac:dyDescent="0.3">
      <c r="A91" t="s">
        <v>141</v>
      </c>
      <c r="B91" t="s">
        <v>202</v>
      </c>
      <c r="C91" t="s">
        <v>39</v>
      </c>
    </row>
    <row r="92" spans="1:3" x14ac:dyDescent="0.3">
      <c r="A92" t="s">
        <v>142</v>
      </c>
      <c r="B92" t="s">
        <v>214</v>
      </c>
      <c r="C92" t="s">
        <v>143</v>
      </c>
    </row>
    <row r="93" spans="1:3" x14ac:dyDescent="0.3">
      <c r="A93" t="s">
        <v>145</v>
      </c>
      <c r="B93" t="s">
        <v>209</v>
      </c>
      <c r="C93" t="s">
        <v>80</v>
      </c>
    </row>
    <row r="94" spans="1:3" x14ac:dyDescent="0.3">
      <c r="A94" t="s">
        <v>147</v>
      </c>
      <c r="B94" t="s">
        <v>202</v>
      </c>
      <c r="C94" t="s">
        <v>39</v>
      </c>
    </row>
    <row r="95" spans="1:3" x14ac:dyDescent="0.3">
      <c r="A95" t="s">
        <v>148</v>
      </c>
      <c r="B95" t="s">
        <v>201</v>
      </c>
      <c r="C95" t="s">
        <v>32</v>
      </c>
    </row>
    <row r="96" spans="1:3" x14ac:dyDescent="0.3">
      <c r="A96" t="s">
        <v>149</v>
      </c>
      <c r="B96" t="s">
        <v>215</v>
      </c>
      <c r="C96" t="s">
        <v>150</v>
      </c>
    </row>
    <row r="97" spans="1:3" x14ac:dyDescent="0.3">
      <c r="A97" t="s">
        <v>151</v>
      </c>
      <c r="B97" t="s">
        <v>201</v>
      </c>
      <c r="C97" t="s">
        <v>32</v>
      </c>
    </row>
    <row r="98" spans="1:3" x14ac:dyDescent="0.3">
      <c r="A98" t="s">
        <v>152</v>
      </c>
      <c r="B98" t="s">
        <v>205</v>
      </c>
      <c r="C98" t="s">
        <v>53</v>
      </c>
    </row>
    <row r="99" spans="1:3" x14ac:dyDescent="0.3">
      <c r="A99" t="s">
        <v>153</v>
      </c>
      <c r="B99" t="s">
        <v>201</v>
      </c>
      <c r="C99" t="s">
        <v>32</v>
      </c>
    </row>
    <row r="100" spans="1:3" x14ac:dyDescent="0.3">
      <c r="A100" t="s">
        <v>154</v>
      </c>
      <c r="B100" t="s">
        <v>203</v>
      </c>
      <c r="C100" t="s">
        <v>42</v>
      </c>
    </row>
    <row r="101" spans="1:3" x14ac:dyDescent="0.3">
      <c r="A101" t="s">
        <v>155</v>
      </c>
      <c r="B101" t="s">
        <v>201</v>
      </c>
      <c r="C101" t="s">
        <v>32</v>
      </c>
    </row>
    <row r="102" spans="1:3" x14ac:dyDescent="0.3">
      <c r="A102" t="s">
        <v>156</v>
      </c>
      <c r="B102" t="s">
        <v>201</v>
      </c>
      <c r="C102" t="s">
        <v>32</v>
      </c>
    </row>
    <row r="103" spans="1:3" x14ac:dyDescent="0.3">
      <c r="A103" t="s">
        <v>157</v>
      </c>
      <c r="B103" t="s">
        <v>202</v>
      </c>
      <c r="C103" t="s">
        <v>39</v>
      </c>
    </row>
    <row r="104" spans="1:3" x14ac:dyDescent="0.3">
      <c r="A104" t="s">
        <v>158</v>
      </c>
      <c r="B104" t="s">
        <v>203</v>
      </c>
      <c r="C104" t="s">
        <v>42</v>
      </c>
    </row>
    <row r="105" spans="1:3" x14ac:dyDescent="0.3">
      <c r="A105" t="s">
        <v>159</v>
      </c>
      <c r="B105" t="s">
        <v>202</v>
      </c>
      <c r="C105" t="s">
        <v>39</v>
      </c>
    </row>
    <row r="106" spans="1:3" x14ac:dyDescent="0.3">
      <c r="A106" t="s">
        <v>160</v>
      </c>
      <c r="B106" t="s">
        <v>202</v>
      </c>
      <c r="C106" t="s">
        <v>39</v>
      </c>
    </row>
    <row r="107" spans="1:3" x14ac:dyDescent="0.3">
      <c r="A107" t="s">
        <v>161</v>
      </c>
      <c r="B107" t="s">
        <v>202</v>
      </c>
      <c r="C107" t="s">
        <v>39</v>
      </c>
    </row>
    <row r="108" spans="1:3" x14ac:dyDescent="0.3">
      <c r="A108" t="s">
        <v>162</v>
      </c>
      <c r="B108" t="s">
        <v>201</v>
      </c>
      <c r="C108" t="s">
        <v>32</v>
      </c>
    </row>
    <row r="109" spans="1:3" x14ac:dyDescent="0.3">
      <c r="A109" t="s">
        <v>163</v>
      </c>
      <c r="B109" t="s">
        <v>203</v>
      </c>
      <c r="C109" t="s">
        <v>42</v>
      </c>
    </row>
    <row r="110" spans="1:3" x14ac:dyDescent="0.3">
      <c r="A110" t="s">
        <v>164</v>
      </c>
      <c r="B110" t="s">
        <v>216</v>
      </c>
      <c r="C110" t="s">
        <v>165</v>
      </c>
    </row>
    <row r="111" spans="1:3" x14ac:dyDescent="0.3">
      <c r="A111" t="s">
        <v>166</v>
      </c>
      <c r="B111" t="s">
        <v>202</v>
      </c>
      <c r="C111" t="s">
        <v>39</v>
      </c>
    </row>
    <row r="112" spans="1:3" x14ac:dyDescent="0.3">
      <c r="A112" t="s">
        <v>167</v>
      </c>
      <c r="B112" t="s">
        <v>201</v>
      </c>
      <c r="C112" t="s">
        <v>32</v>
      </c>
    </row>
    <row r="113" spans="1:3" x14ac:dyDescent="0.3">
      <c r="A113" t="s">
        <v>168</v>
      </c>
      <c r="B113" t="s">
        <v>202</v>
      </c>
      <c r="C113" t="s">
        <v>39</v>
      </c>
    </row>
    <row r="114" spans="1:3" x14ac:dyDescent="0.3">
      <c r="A114" t="s">
        <v>169</v>
      </c>
      <c r="B114" t="s">
        <v>201</v>
      </c>
      <c r="C114" t="s">
        <v>32</v>
      </c>
    </row>
    <row r="115" spans="1:3" x14ac:dyDescent="0.3">
      <c r="A115" t="s">
        <v>170</v>
      </c>
      <c r="B115" t="s">
        <v>203</v>
      </c>
      <c r="C115" t="s">
        <v>42</v>
      </c>
    </row>
    <row r="116" spans="1:3" x14ac:dyDescent="0.3">
      <c r="A116" t="s">
        <v>171</v>
      </c>
      <c r="B116" t="s">
        <v>203</v>
      </c>
      <c r="C116" t="s">
        <v>42</v>
      </c>
    </row>
    <row r="117" spans="1:3" x14ac:dyDescent="0.3">
      <c r="A117" t="s">
        <v>172</v>
      </c>
      <c r="B117" t="s">
        <v>206</v>
      </c>
      <c r="C117" t="s">
        <v>58</v>
      </c>
    </row>
    <row r="118" spans="1:3" x14ac:dyDescent="0.3">
      <c r="A118" t="s">
        <v>173</v>
      </c>
      <c r="B118" t="s">
        <v>203</v>
      </c>
      <c r="C118" t="s">
        <v>42</v>
      </c>
    </row>
    <row r="119" spans="1:3" x14ac:dyDescent="0.3">
      <c r="A119" t="s">
        <v>174</v>
      </c>
      <c r="B119" t="s">
        <v>213</v>
      </c>
      <c r="C119" t="s">
        <v>137</v>
      </c>
    </row>
    <row r="120" spans="1:3" x14ac:dyDescent="0.3">
      <c r="A120" t="s">
        <v>176</v>
      </c>
      <c r="B120" t="s">
        <v>202</v>
      </c>
      <c r="C120" t="s">
        <v>39</v>
      </c>
    </row>
    <row r="121" spans="1:3" x14ac:dyDescent="0.3">
      <c r="A121" t="s">
        <v>177</v>
      </c>
      <c r="B121" t="s">
        <v>203</v>
      </c>
      <c r="C121" t="s">
        <v>42</v>
      </c>
    </row>
    <row r="122" spans="1:3" x14ac:dyDescent="0.3">
      <c r="A122" t="s">
        <v>178</v>
      </c>
      <c r="B122" t="s">
        <v>201</v>
      </c>
      <c r="C122" t="s">
        <v>32</v>
      </c>
    </row>
    <row r="123" spans="1:3" x14ac:dyDescent="0.3">
      <c r="A123" t="s">
        <v>179</v>
      </c>
      <c r="B123" t="s">
        <v>201</v>
      </c>
      <c r="C123" t="s">
        <v>32</v>
      </c>
    </row>
    <row r="124" spans="1:3" x14ac:dyDescent="0.3">
      <c r="A124" t="s">
        <v>180</v>
      </c>
      <c r="B124" t="s">
        <v>203</v>
      </c>
      <c r="C124" t="s">
        <v>42</v>
      </c>
    </row>
    <row r="125" spans="1:3" x14ac:dyDescent="0.3">
      <c r="A125" t="s">
        <v>181</v>
      </c>
      <c r="B125" t="s">
        <v>202</v>
      </c>
      <c r="C125" t="s">
        <v>39</v>
      </c>
    </row>
    <row r="126" spans="1:3" x14ac:dyDescent="0.3">
      <c r="A126" t="s">
        <v>182</v>
      </c>
      <c r="B126" t="s">
        <v>201</v>
      </c>
      <c r="C126" t="s">
        <v>32</v>
      </c>
    </row>
    <row r="127" spans="1:3" x14ac:dyDescent="0.3">
      <c r="A127" t="s">
        <v>183</v>
      </c>
      <c r="B127" t="s">
        <v>203</v>
      </c>
      <c r="C127" t="s">
        <v>42</v>
      </c>
    </row>
    <row r="128" spans="1:3" x14ac:dyDescent="0.3">
      <c r="A128" t="s">
        <v>184</v>
      </c>
      <c r="B128" t="s">
        <v>201</v>
      </c>
      <c r="C128" t="s">
        <v>32</v>
      </c>
    </row>
    <row r="129" spans="1:3" x14ac:dyDescent="0.3">
      <c r="A129" t="s">
        <v>185</v>
      </c>
      <c r="B129" t="s">
        <v>202</v>
      </c>
      <c r="C129" t="s">
        <v>39</v>
      </c>
    </row>
    <row r="130" spans="1:3" x14ac:dyDescent="0.3">
      <c r="A130" t="s">
        <v>186</v>
      </c>
      <c r="B130" t="s">
        <v>203</v>
      </c>
      <c r="C130" t="s">
        <v>42</v>
      </c>
    </row>
    <row r="131" spans="1:3" x14ac:dyDescent="0.3">
      <c r="A131" t="s">
        <v>187</v>
      </c>
      <c r="B131" t="s">
        <v>203</v>
      </c>
      <c r="C131" t="s">
        <v>42</v>
      </c>
    </row>
    <row r="132" spans="1:3" x14ac:dyDescent="0.3">
      <c r="A132" t="s">
        <v>188</v>
      </c>
      <c r="B132" t="s">
        <v>203</v>
      </c>
      <c r="C132" t="s">
        <v>42</v>
      </c>
    </row>
    <row r="133" spans="1:3" x14ac:dyDescent="0.3">
      <c r="A133" t="s">
        <v>189</v>
      </c>
      <c r="B133" t="s">
        <v>203</v>
      </c>
      <c r="C133" t="s">
        <v>42</v>
      </c>
    </row>
    <row r="134" spans="1:3" x14ac:dyDescent="0.3">
      <c r="A134" t="s">
        <v>190</v>
      </c>
      <c r="B134" t="s">
        <v>202</v>
      </c>
      <c r="C134" t="s">
        <v>39</v>
      </c>
    </row>
    <row r="135" spans="1:3" x14ac:dyDescent="0.3">
      <c r="A135" t="s">
        <v>191</v>
      </c>
      <c r="B135" t="s">
        <v>203</v>
      </c>
      <c r="C135" t="s">
        <v>42</v>
      </c>
    </row>
    <row r="136" spans="1:3" x14ac:dyDescent="0.3">
      <c r="A136" t="s">
        <v>192</v>
      </c>
      <c r="B136" t="s">
        <v>202</v>
      </c>
      <c r="C136" t="s">
        <v>39</v>
      </c>
    </row>
    <row r="137" spans="1:3" x14ac:dyDescent="0.3">
      <c r="A137" t="s">
        <v>193</v>
      </c>
      <c r="B137" t="s">
        <v>201</v>
      </c>
      <c r="C137" t="s">
        <v>32</v>
      </c>
    </row>
    <row r="138" spans="1:3" x14ac:dyDescent="0.3">
      <c r="A138" t="s">
        <v>194</v>
      </c>
      <c r="B138" t="s">
        <v>201</v>
      </c>
      <c r="C138" t="s">
        <v>32</v>
      </c>
    </row>
    <row r="139" spans="1:3" x14ac:dyDescent="0.3">
      <c r="A139" t="s">
        <v>195</v>
      </c>
      <c r="B139" t="s">
        <v>205</v>
      </c>
      <c r="C139" t="s">
        <v>53</v>
      </c>
    </row>
    <row r="140" spans="1:3" x14ac:dyDescent="0.3">
      <c r="A140" t="s">
        <v>196</v>
      </c>
      <c r="B140" t="s">
        <v>201</v>
      </c>
      <c r="C140" t="s">
        <v>32</v>
      </c>
    </row>
    <row r="141" spans="1:3" x14ac:dyDescent="0.3">
      <c r="A141" t="s">
        <v>197</v>
      </c>
      <c r="B141" t="s">
        <v>202</v>
      </c>
      <c r="C141" t="s">
        <v>39</v>
      </c>
    </row>
    <row r="142" spans="1:3" x14ac:dyDescent="0.3">
      <c r="A142" t="s">
        <v>198</v>
      </c>
      <c r="B142" t="s">
        <v>202</v>
      </c>
      <c r="C142" t="s">
        <v>39</v>
      </c>
    </row>
    <row r="143" spans="1:3" x14ac:dyDescent="0.3">
      <c r="A143" t="s">
        <v>199</v>
      </c>
      <c r="B143" t="s">
        <v>201</v>
      </c>
      <c r="C143" t="s">
        <v>32</v>
      </c>
    </row>
    <row r="144" spans="1:3" x14ac:dyDescent="0.3">
      <c r="A144" t="s">
        <v>200</v>
      </c>
      <c r="B144" t="s">
        <v>207</v>
      </c>
      <c r="C144" t="s">
        <v>61</v>
      </c>
    </row>
  </sheetData>
  <sortState xmlns:xlrd2="http://schemas.microsoft.com/office/spreadsheetml/2017/richdata2" ref="A1:C145">
    <sortCondition ref="A1:A14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a4b62c-e5fe-4ad4-ad29-54be410742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44C3CD999A54BB4CD4C6FF07B7ECA" ma:contentTypeVersion="10" ma:contentTypeDescription="Create a new document." ma:contentTypeScope="" ma:versionID="1665a03486396807219b0da42a7ffbc0">
  <xsd:schema xmlns:xsd="http://www.w3.org/2001/XMLSchema" xmlns:xs="http://www.w3.org/2001/XMLSchema" xmlns:p="http://schemas.microsoft.com/office/2006/metadata/properties" xmlns:ns2="01a4b62c-e5fe-4ad4-ad29-54be41074255" targetNamespace="http://schemas.microsoft.com/office/2006/metadata/properties" ma:root="true" ma:fieldsID="7696b76fb19959c755ea5fec28dac4ce" ns2:_="">
    <xsd:import namespace="01a4b62c-e5fe-4ad4-ad29-54be41074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4b62c-e5fe-4ad4-ad29-54be41074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02205F-31A7-4E73-9DAB-81953022A6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F46F14-C010-4E4B-B05B-58AE87BFC1C4}">
  <ds:schemaRefs>
    <ds:schemaRef ds:uri="http://schemas.microsoft.com/office/2006/metadata/properties"/>
    <ds:schemaRef ds:uri="http://schemas.microsoft.com/office/infopath/2007/PartnerControls"/>
    <ds:schemaRef ds:uri="01a4b62c-e5fe-4ad4-ad29-54be41074255"/>
  </ds:schemaRefs>
</ds:datastoreItem>
</file>

<file path=customXml/itemProps3.xml><?xml version="1.0" encoding="utf-8"?>
<ds:datastoreItem xmlns:ds="http://schemas.openxmlformats.org/officeDocument/2006/customXml" ds:itemID="{83A011A5-6199-4A42-972A-1578BEC9E2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a4b62c-e5fe-4ad4-ad29-54be410742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Gray, Holly</dc:creator>
  <cp:keywords/>
  <dc:description/>
  <cp:lastModifiedBy>Nigel French</cp:lastModifiedBy>
  <cp:revision/>
  <dcterms:created xsi:type="dcterms:W3CDTF">2023-06-06T02:29:26Z</dcterms:created>
  <dcterms:modified xsi:type="dcterms:W3CDTF">2025-10-28T20:23:57Z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0x01010035A44C3CD999A54BB4CD4C6FF07B7ECA</vt:lpwstr>
  </property>
  <property fmtid="{D5CDD505-2E9C-101B-9397-08002B2CF9AE}" pid="3" name="MediaServiceImageTags">
    <vt:lpwstr/>
  </property>
  <property fmtid="{D5CDD505-2E9C-101B-9397-08002B2CF9AE}" pid="4" name="MSIP_Label_bd9e4d68-54d0-40a5-8c9a-85a36c87352c_Enabled">
    <vt:lpwstr>true</vt:lpwstr>
  </property>
  <property fmtid="{D5CDD505-2E9C-101B-9397-08002B2CF9AE}" pid="5" name="MSIP_Label_bd9e4d68-54d0-40a5-8c9a-85a36c87352c_SetDate">
    <vt:lpwstr>2025-10-28T03:34:38Z</vt:lpwstr>
  </property>
  <property fmtid="{D5CDD505-2E9C-101B-9397-08002B2CF9AE}" pid="6" name="MSIP_Label_bd9e4d68-54d0-40a5-8c9a-85a36c87352c_Method">
    <vt:lpwstr>Standard</vt:lpwstr>
  </property>
  <property fmtid="{D5CDD505-2E9C-101B-9397-08002B2CF9AE}" pid="7" name="MSIP_Label_bd9e4d68-54d0-40a5-8c9a-85a36c87352c_Name">
    <vt:lpwstr>Unclassified</vt:lpwstr>
  </property>
  <property fmtid="{D5CDD505-2E9C-101B-9397-08002B2CF9AE}" pid="8" name="MSIP_Label_bd9e4d68-54d0-40a5-8c9a-85a36c87352c_SiteId">
    <vt:lpwstr>388728e1-bbd0-4378-98dc-f8682e644300</vt:lpwstr>
  </property>
  <property fmtid="{D5CDD505-2E9C-101B-9397-08002B2CF9AE}" pid="9" name="MSIP_Label_bd9e4d68-54d0-40a5-8c9a-85a36c87352c_ActionId">
    <vt:lpwstr>27ece029-1b3c-4eaf-814c-9571f143a951</vt:lpwstr>
  </property>
  <property fmtid="{D5CDD505-2E9C-101B-9397-08002B2CF9AE}" pid="10" name="MSIP_Label_bd9e4d68-54d0-40a5-8c9a-85a36c87352c_ContentBits">
    <vt:lpwstr>0</vt:lpwstr>
  </property>
  <property fmtid="{D5CDD505-2E9C-101B-9397-08002B2CF9AE}" pid="11" name="MSIP_Label_bd9e4d68-54d0-40a5-8c9a-85a36c87352c_Tag">
    <vt:lpwstr>10, 3, 0, 2</vt:lpwstr>
  </property>
</Properties>
</file>